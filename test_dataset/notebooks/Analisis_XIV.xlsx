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omparisons" sheetId="2" r:id="rId2"/>
    <sheet name="Explanation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<sst xmlns="http://schemas.openxmlformats.org/spreadsheetml/2006/main" count="789" uniqueCount="242">
  <si>
    <t>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</si>
  <si>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</si>
  <si>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</si>
  <si>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</si>
  <si>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</si>
  <si>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</si>
  <si>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</si>
  <si>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</si>
  <si>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</si>
  <si>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</si>
  <si>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</si>
  <si>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</si>
  <si>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Total Tests</t>
  </si>
  <si>
    <t>Accuracy</t>
  </si>
  <si>
    <t>Numeric Complexity</t>
  </si>
  <si>
    <t>gemini-2.0-flash-lite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</si>
  <si>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</si>
  <si>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True_x000D_
True_x000D_
True_x000D_
True_x000D_
True_x000D_
5/5</t>
  </si>
  <si>
    <t>loops: 4,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</si>
  <si>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("tmmzuxt", 5)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</si>
  <si>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True_x000D_
8/8</t>
  </si>
  <si>
    <t>loops: 2, conditionals: 4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</si>
  <si>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</si>
  <si>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False_x000D_
True_x000D_
8/9</t>
  </si>
  <si>
    <t>loops: 1, conditionals: 4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</si>
  <si>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s_len = len(s)
    p_len = len(p)
    # dp[i][j] represents whether s[:i] matches p[:j]
    dp = [[False] * (p_len + 1) for _ in range(s_len + 1)]
    # Base case: empty string matches empty pattern
    dp[0][0] = True
    # Handle patterns like a*, a*b*, a*b*c*
    for j in range(1, p_len + 1):
        if p[j - 1] == '*':
            dp[0][j] = dp[0][j - 2]  # '*' matches zero occurrences of the preceding character
    # Fill the dp table
    for i in range(1, s_len + 1):
        for j in range(1, p_len + 1):
            if p[j - 1] == '.' or p[j - 1] == s[i - 1]:
                # Current characters match
                dp[i][j] = dp[i - 1][j - 1]
            elif p[j - 1] == '*':
                # '*' case
                dp[i][j] = dp[i][j - 2]  # '*' matches zero occurrences of the preceding character
                if p[j - 2] == '.' or p[j - 2] == s[i - 1]:
                    dp[i][j] = dp[i][j] or dp[i - 1][j]  # '*' matches one or more occurrences
            else:
                # Characters don't match
                dp[i][j] = False
    return dp[s_len][p_len]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</si>
  <si>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14/14</t>
  </si>
  <si>
    <t>loops: 4, conditionals: 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</si>
  <si>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3, 4, 7, 8, 9]], [-1, 2, 3, 4, 5, 6, 7, 8, 9, 10, 11]),
        ([[] , [1]], [1])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</si>
  <si>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True_x000D_
True_x000D_
True_x000D_
True_x000D_
True_x000D_
True_x000D_
6/6</t>
  </si>
  <si>
    <t>loops: 5,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</si>
  <si>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</si>
  <si>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[1, 2, 3], 2.0)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</si>
  <si>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'*' and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".*..a*",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</si>
  <si>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loops: 1, conditionals: 7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</si>
  <si>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</si>
  <si>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"ab*ac*a", True),
        ("aaa", "aaaa", False),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</si>
  <si>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False_x000D_
True_x000D_
True_x000D_
True_x000D_
True_x000D_
True_x000D_
14/15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</si>
  <si>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([[1], [2], [3]], [1, 2, 3]),
        ([[-1, 5, 10, 11], [0, 2, 6, 12], [1, 3, 7, 13]], [-1, 0, 1, 2, 3, 5, 6, 7, 10, 11, 12, 13])
    ]
    correct_tests = 0
    for lists_input, expected_output in tests:
        lists_of_linked_lists = []
        for lst in lists_input:
            lists_of_linked_lists.append(list_to_linked_list(lst))
        result_linked_list = mergeKLists(lists_of_linked_lists)
        result_list = linked_list_to_list(result_linked_list)
        if result_list == expected_output:
            print(True)
            correct_tests += 1
        else:
            print(False)
    print(f"{correct_tests}/{len(tests)}")
if __name__ == '__main__':
    test_merge_k_lists()</t>
  </si>
  <si>
    <t>loops: 6, conditionals: 4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</si>
  <si>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sum_vals = val1 + val2 + carry
        carry = sum_vals // 10
        digit = sum_vals % 10
        current.next = ListNode(digit)
        current = current.next
        if l1:
            l1 = l1.next
        if l2:
            l2 = l2.next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
    ]
    correct_tests = 0
    for i, (l1_list, l2_list, expected_output) in enumerate(test_cases):
        l1 = list_to_linked_list(l1_list)
        l2 = list_to_linked_list(l2_list)
        result_linked_list = addTwoNumbers(l1, l2)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</si>
  <si>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Correct tests: 4/4</t>
  </si>
  <si>
    <t>loops: 4, conditionals: 3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</si>
  <si>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("tmmzuxt", 5)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</si>
  <si>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Correct tests: 8/8</t>
  </si>
  <si>
    <t>loops: 2, conditionals: 3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</si>
  <si>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([-1, -2], [-3], -2.0),
        ([1, 3], [2, 7], 3.0)
    ]
    correct_tests = 0
    for i, (nums1, nums2, expected_output) in enumerate(test_cases):
        result = findMedianSortedArrays(nums1, nums2)
        if abs(result - expected_output) &lt; 1e-5:  # Use a small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</si>
  <si>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False_x000D_
Correct tests: 8/9</t>
  </si>
  <si>
    <t>loops: 1, conditionals: 3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</si>
  <si>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table (s_index, p_index) -&gt; boolean
    def solve(s_index, p_index):
        if (s_index, p_index) in dp:
            return dp[(s_index, p_index)]
        # Base cases
        if p_index == len(p):
            return s_index == len(s)
        first_match = (s_index &lt; len(s) and
                       (p[p_index] == s[s_index] or p[p_index] == '.'))
        if p_index + 1 &lt; len(p) and p[p_index + 1] == '*':
            # Two possibilities:
            # 1. '*' matches zero occurrences of the preceding character
            # 2. '*' matches one or more occurrences of the preceding character
            result = solve(s_index, p_index + 2) or (first_match and solve(s_index + 1, p_index))
        else:
            # No '*' or end of pattern
            result = first_match and solve(s_index + 1, p_index + 1)
        dp[(s_index, p_index)] = result
        return result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"ab*c*a", True),
        ("a", ".*..a*", False),
        ("aaaaaaaaaaaaab", "a*a*a*a*a*a*a*a*a*a*c",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</si>
  <si>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False_x000D_
Test 11: False_x000D_
Test 12: True_x000D_
Test 13: True_x000D_
Correct tests: 11/13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</si>
  <si>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5]], [1, 2, 3, 4, 5]),
        ([[1], [2]], [1, 2]),
        ([[1, 2, 3], [], [4, 5]], [1, 2, 3, 4, 5]),
        ([[-1, 5, 10, 11], [0, 2, 6, 12], [1, 3, 7, 9]], [-1, 0, 1, 2, 3, 5, 6, 7, 9, 10, 11, 12])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</si>
  <si>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6, conditionals: 3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</si>
  <si>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([2, 4, 3], [5, 6, 4], [7, 0, 8]),
        ([0], [0], [0]),
        ([9, 9, 9, 9, 9, 9, 9], [9, 9, 9, 9], [8, 9, 9, 9, 0, 0, 0, 1]),
        ([1, 2, 3], [4, 5, 6], [5, 7, 9]),
        ([1], [9, 9], [0, 0, 1])
    ]
    correct_count = 0
    total_tests = len(test_cases)
    for i, (l1_list, l2_list, expected_list) in enumerate(test_cases):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</si>
  <si>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Correct tests: 5/5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</si>
  <si>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 cases and prints the results."""
    test_cases = [
        ("abcabcbb", 3),
        ("bbbbb", 1),
        ("pwwkew", 3),
        ("", 0),
        (" ", 1),
        ("au", 2),
        ("dvdf", 3),
        ("anviaj", 6),
        ("tmmzuxt", 5)
    ]
    correct_count = 0
    total_tests = len(test_cases)
    for i, (s, expected_length) in enumerate(test_cases):
        result = lengthOfLongestSubstring(s)
        if result == expected_length: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</si>
  <si>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False_x000D_
Test 9: True_x000D_
Correct tests: 8/9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</si>
  <si>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 = sorted(nums1 + nums2)
    merged_len = len(merged)
    if merged_len == 0:
        return 0.0
    if merged_len % 2 == 0:
        # Even length, median is the average of the middle two elements
        mid1 = merged_len // 2 - 1
        mid2 = merged_len // 2
        return (merged[mid1] + merged[mid2]) / 2.0
    else:
        # Odd length, median is the middle element
        mid = merged_len // 2
        return float(merged[mid])
def run_tests():
    """Runs the test cases and prints the results."""
    test_cases = [
        ([1, 3], [2], 2.0),
        ([1, 2], [3, 4], 2.5),
        ([0, 0], [0, 0], 0.0),
        ([], [1], 1.0),
        ([2], [], 2.0),
        ([1, 2, 3], [4, 5, 6], 3.5),
        ([4,5,6], [1,2,3], 3.5),
        ([1,3], [2,7], 3),
        ([1,2,3,4], [5,6,7,8], 4.5)
    ]
    correct_count = 0
    total_tests = len(test_cases)
    for i, (nums1, nums2, expected_median) in enumerate(test_cases):
        result = findMedianSortedArrays(nums1, nums2)
        if abs(result - expected_median) &lt; 1e-5:  # Handle floating-point comparisons
            print(f"Test {i+1}: True")
            correct_count += 1
        else:
            print(f"Test {i+1}: False")
    print(f"Correct tests: {correct_count}/{total_tests}")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</si>
  <si>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m, n = len(s), len(p)
    dp = [[False] * (n + 1) for _ in range(m + 1)]
    # Base case: empty string matches empty pattern
    dp[0][0] = True
    # Handle patterns like a*, a*b*, a*b*c*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# Case 1: '*' matches zero occurrences of the preceding character
                dp[i][j] = dp[i][j - 2]
                # Case 2: '*' matches one or more occurrences
                if p[j - 2] == '.' or p[j - 2] == s[i - 1]:
                    dp[i][j] = dp[i][j] or dp[i - 1][j]
            else:
                dp[i][j] = False
    return dp[m][n]
def run_tests():
    """Runs the test cases and prints the results."""
    test_cases = [
        ("aa", "a", False),
        ("aa", "a*", True),
        ("ab", ".*", True),
        ("aab", "c*a*b", True),
        ("mississippi", "mis*is*p*.", False),
        ("abc", ".*", True),
        ("abc", "abc", True),
        ("abc", "abd", False),
        ("a", "ab*", True),
        ("a", ".*..", False),
        ("ab", ".*c", False),
        ("a", ".*", True),
        ("a", "a*", True),
        ("ab", ".*c*", False),
        ("aaa", "ab*a", False),
        ("aaa", "ab*a*c*a", True),
        ("aaaa", "a*a*", True),
        ("ab", ".*..c*", False)
    ]
    correct_count = 0
    total_tests = len(test_cases)
    for i, (s, p, expected_result) in enumerate(test_cases):
        result = isMatch(s, p)
        if result == expected_result: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</si>
  <si>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False_x000D_
Test 15: True_x000D_
Test 16: True_x000D_
Test 17: True_x000D_
Test 18: False_x000D_
Correct tests: 16/18</t>
  </si>
  <si>
    <t>loops: 4, conditionals: 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</si>
  <si>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heap = []
    # Add the head of each linked list to the heap
    for i, lst in enumerate(lists):
        if lst:
            heapq.heappush(heap, (lst.val, i, lst))  # (value, list_index, node)
    dummy = ListNode(0)
    current = dummy
    while heap:
        val, list_index, node = heapq.heappop(heap)
        current.next = node
        current = current.next
        if node.next:
            heapq.heappush(heap, (node.next.val, list_index, node.next))
    return dummy.next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([[1, 4, 5], [1, 3, 4], [2, 6]], [1, 1, 2, 3, 4, 4, 5, 6]),
        ([], []),
        ([[]], []),
        ([[1, 2, 3], [], [4, 5, 6]], [1, 2, 3, 4, 5, 6]),
        ([[1], [2]], [1, 2]),
        ([[5,6,7], [1,2,3,4]], [1,2,3,4,5,6,7]),
        ([[-1, 5, 11], [6, 10], [2, 3, 4, 8, 9]], [-1, 2, 3, 4, 5, 6, 8, 9, 10, 11])
    ]
    correct_count = 0
    total_tests = len(test_cases)
    for i, (lists_input, expected_output) in enumerate(test_cases):
        lists_linked_list = []
        for lst in lists_input:
            lists_linked_list.append(list_to_linked_list(lst))
        merged_list = mergeKLists(lists_linked_list)
        result_list = linked_list_to_list(merged_list)
        if result_list == expected_output: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</si>
  <si>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Correct tests: 7/7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</si>
  <si>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</si>
  <si>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("anviaj", 6)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</si>
  <si>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False_x000D_
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</si>
  <si>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</si>
  <si>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True_x000D_
True_x000D_
9/9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</si>
  <si>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(s_idx &lt; len(s) and
                       (p[p_idx] == s[s_idx] or p[p_idx] == '.'))
        # Case 1: '*' encountered
        if p_idx + 1 &lt; len(p) and p[p_idx + 1] == '*':
            # Option 1: '*' matches zero occurrences of the preceding character
            match = solve(s_idx, p_idx + 2)  # Skip the '*' and the preceding character
            # Option 2: '*' matches one or more occurrences of the preceding character
            if not match and first_match:
                match = solve(s_idx + 1, p_idx)  # Consume one character from s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("abc", "abc", True),
        ("abc", "abd", False),
        ("abc", "a.c", True),
        ("abc", "a.*", True),
        ("abc", "a*b*c", True),
        ("abc", "a*b*c*", True),
        ("abc", "a*b*c*d", False),
        ("a", "ab*", True),
        ("a", ".*..", False),
        ("ab", ".*c", False),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</si>
  <si>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True_x000D_
True_x000D_
16/16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</si>
  <si>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A new sorted linked list.
    """
    # Use a min-heap to efficiently merge the lists
    heap = []
    # Add the head of each list to the heap
    for i, lst in enumerate(lists):
        if lst:
            heapq.heappush(heap, (lst.val, i, lst))  # (value, list_index, node)
    dummy_head = ListNode()
    current = dummy_head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10, 11], [0, 2, 6, 12], [1, 3, 7, 13]], [-1, 0, 1, 2, 3, 5, 6, 7, 10, 11, 12, 13])
    ]
    correct_tests = 0
    for lists_list, expected_list in tests:
        lists = [list_to_linked_list(lst) for lst in lists_list]
        result_linked_list = mergeKLists(lists)
        result_list = linked_list_to_list(result_linked_list)
        if result_list == expected_list: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</si>
  <si>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</si>
  <si>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[1, 2, 3], 2.0)
    ]
    correct_tests = 0
    for nums1, nums2, expected_median in tests:
        result = findMedianSortedArrays(nums1, nums2)
        if abs(result - expected_median) &lt; 1e-5:  # Using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</si>
  <si>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regex_match(s_idx, p_idx):
        """Recursive helper function with memoization."""
        if (s_idx, p_idx) in dp:
            return dp[(s_idx, p_idx)]
        # Base cases
        if p_idx == len(p):
            return s_idx == len(s)  # Pattern exhausted, string also exhausted
        if s_idx == len(s):
            # String exhausted, check if pattern can match empty string
            if p_idx + 1 &lt; len(p) and p[p_idx + 1] == '*':
                result = regex_match(s_idx, p_idx + 2)  # Skip the char and '*'
                dp[(s_idx, p_idx)] = result
                return result
            else:
                dp[(s_idx, p_idx)] = False
                return False
        # Recursive cases
        char_match = (p[p_idx] == '.' or p[p_idx] == s[s_idx])
        if p_idx + 1 &lt; len(p) and p[p_idx + 1] == '*':
            # '*' case: zero or more occurrences of the preceding character
            # Option 1: Match zero occurrences (skip the char and '*')
            result = regex_match(s_idx, p_idx + 2)
            # Option 2: Match one or more occurrences (if char matches)
            if char_match:
                result = result or regex_match(s_idx + 1, p_idx)
            dp[(s_idx, p_idx)] = result
            return result
        elif char_match:
            # Regular character match or '.' match
            result = regex_match(s_idx + 1, p_idx + 1)
            dp[(s_idx, p_idx)] = result
            return result
        else:
            # No match
            dp[(s_idx, p_idx)] = False
            return False
    return regex_match(0,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("a", ".*..", False),
        ("ab", ".*c", False),
        ("aaa", "ab*a", False),
        ("aaa", "ab*a*c*a", True),
        ("aaaa", "a*a*", True),
        ("ab", ".*..", False),
        ("a", ".*", True),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</si>
  <si>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False_x000D_
True_x000D_
True_x000D_
16/17</t>
  </si>
  <si>
    <t>loops: 1, conditionals: 9</t>
  </si>
  <si>
    <t>from typing import List, Optional
import heapq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([[1, 2], [3, 4], [5, 6]], [1, 2, 3, 4, 5, 6]),
        ([[-1, 5, 11], [6, 10], [2, 8, 12]], [-1, 2, 5, 6, 8, 10, 11, 12])
    ]
    correct_tests = 0
    for lists_input, expected_output in tests:
        lists_linked_list = [list_to_linked_list(lst) for lst in lists_input]
        merged_list = mergeKLists(lists_linked_list)
        result_list = linked_list_to_list(merged_list)
        if result_list == expected_output:
            print(True)
            correct_tests += 1
        else:
            print(False)
    print(f"{correct_tests}/{len(tests)}")
if __name__ == '__main__':
    test_mergeKLists()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</si>
  <si>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numbers.
    """
    dummy = ListNode()  # Dummy node to simplify code
    current = dummy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dummy.next
def list_to_linked_list(nums):
    """Converts a list of integers to a linked list."""
    dummy = ListNode()
    current = dummy
    for num in nums:
        current.next = ListNode(num)
        current = current.next
    return dummy.next
def linked_list_to_list(head):
    """Converts a linked list to a list of integers."""
    result = []
    while head:
        result.append(head.val)
        head = head.next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(l1_nums, l2_nums, expected_nums) in enumerate(tests):
        l1 = list_to_linked_list(l1_nums)
        l2 = list_to_linked_list(l2_nums)
        result = addTwoNumbers(l1, l2)
        actual_nums = linked_list_to_list(result)
        if actual_nums == expected_nums:
            print(f"Test {i+1}: True")
            correct_tests += 1
        else:
            print(f"Test {i+1}: False")
    print(f"Correct tests: {correct_tests}/{len(tests)}")
if __name__ == '__main__':
    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</si>
  <si>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last seen index of each character
    for end, char in enumerate(s):
        if char in char_index_map and char_index_map[char] &gt;= start:
            # If the character is repeated within the current window,
            # move the start pointer to the next position after the previous occurrence.
            start = char_index_map[char] + 1
        char_index_map[char] = end  # Update the last seen index of the character
        max_length = max(max_length, end - start + 1)
    return max_length
def test_length_of_longest_substring():
    """Tests the length_of_longest_substring function."""
    tests = [
        ("abcabcbb", 3),
        ("bbbbb", 1),
        ("pwwkew", 3),
        ("", 0),
        (" ", 1),
        ("au", 2),
        ("aab", 2),
        ("dvdf", 3),
        ("abba", 2)
    ]
    correct_tests = 0
    for i, (s, expected) in enumerate(tests):
        result = length_of_longest_substring(s)
        if result == expected:
            print(f"Test {i+1}: True")
            correct_tests += 1
        else:
            print(f"Test {i+1}: False")
    print(f"Correct tests: {correct_tests}/{len(tests)}")
if __name__ == '__main__':
    test_length_of_longest_substring()</t>
  </si>
  <si>
    <t>Test 1: True_x000D_
Test 2: True_x000D_
Test 3: True_x000D_
Test 4: True_x000D_
Test 5: True_x000D_
Test 6: True_x000D_
Test 7: True_x000D_
Test 8: True_x000D_
Test 9: True_x000D_
Correct tests: 9/9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</si>
  <si>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  # Even length
        mid1 = merged_array[merged_length // 2 - 1]
        mid2 = merged_array[merged_length // 2]
        median = (mid1 + mid2) / 2.0
    else:  # Odd length
        median = float(merged_array[merged_length // 2])
    return median
def test_find_median_sorted_arrays():
    """Tests the find_median_sorted_arrays function."""
    tests = [
        ([1, 3], [2], 2.0),
        ([1, 2], [3, 4], 2.5),
        ([0, 0], [0, 0], 0.0),
        ([], [1], 1.0),
        ([2], [], 2.0),
        ([1, 2, 3], [4, 5], 3.0),
        ([4, 5], [1, 2, 3], 3.0),
        ([1, 2, 3], [4], 2.5),
        ([1], [2,3,4], 2.5),
        ([-1, -2], [-3, -4, -5], -3.0),
        ([1, 3], [2, 7], 3.0)
    ]
    correct_tests = 0
    for i, (nums1, nums2, expected) in enumerate(tests):
        result = find_median_sorted_arrays(nums1, nums2)
        if abs(result - expected) &lt; 1e-5:  # Using a tolerance for floating-point comparisons
            print(f"Test {i+1}: True")
            correct_tests += 1
        else:
            print(f"Test {i+1}: False (Expected: {expected}, Actual: {result})")
    print(f"Correct tests: {correct_tests}/{len(tests)}")
if __name__ == '__main__':
    test_find_median_sorted_arrays()</t>
  </si>
  <si>
    <t>Test 1: True_x000D_
Test 2: True_x000D_
Test 3: True_x000D_
Test 4: True_x000D_
Test 5: True_x000D_
Test 6: True_x000D_
Test 7: True_x000D_
Test 8: True_x000D_
Test 9: True_x000D_
Test 10: True_x000D_
Test 11: False (Expected: 3.0, Actual: 2.5)_x000D_
Correct tests: 10/11</t>
  </si>
  <si>
    <t>def is_match(s: str, p: str) -&gt; bool:
    """
    Implements regular expression matching with '.' and '*'.
    Args:
        s: The input string.
        p: The pattern.
    Returns:
        True if the pattern matches the entire input string, False otherwise.
    """
    dp = {}  # Memoization to store intermediate results
    def backtrack(s_index, p_index):
        """Recursive helper function for matching."""
        if (s_index, p_index) in dp:
            return dp[(s_index, p_index)]
        # Base case: Pattern exhausted
        if p_index == len(p):
            return s_index == len(s)
        # Check if the current characters match or if the pattern has '.'
        first_match = (s_index &lt; len(s) and
                       (p[p_index] == s[s_index] or p[p_index] == '.'))
        # Case 1: '*' encountered
        if p_index + 1 &lt; len(p) and p[p_index + 1] == '*':
            # Option 1: '*' matches zero occurrences of preceding element
            match_zero = backtrack(s_index, p_index + 2)
            # Option 2: '*' matches one or more occurrences
            match_one_or_more = (first_match and
                                 backtrack(s_index + 1, p_index))
            result = match_zero or match_one_or_more
        else:
            # Case 2: No '*' or end of string
            result = first_match and backtrack(s_index + 1, p_index + 1)
        dp[(s_index, p_index)] = result  # Store the result in memo
        return result
    return backtrack(0, 0)
def test_is_match():
    """Tests the is_match function."""
    tests = [
        ("aa", "a", False),
        ("aa", "a*", True),
        ("ab", ".*", True),
        ("aab", "c*a*b", True),
        ("mississippi", "mis*is*p*.", False),
        ("ab", ".*c", False),
        ("a", ".*", True),
        ("a", "ab*", True),
        ("abcd", "d*a*c*b*", True),
        ("aaa", "ab*a", True),
        ("aaa", "ab*a*c*a", True),
        ("abc", "abc", True),
        ("abc", "abc.", False)
    ]
    correct_tests = 0
    for i, (s, p, expected) in enumerate(tests):
        result = is_match(s, p)
        if result == expected:
            print(f"Test {i+1}: True")
            correct_tests += 1
        else:
            print(f"Test {i+1}: False")
    print(f"Correct tests: {correct_tests}/{len(tests)}")
if __name__ == '__main__':
    test_is_match()</t>
  </si>
  <si>
    <t>Test 1: True_x000D_
Test 2: True_x000D_
Test 3: True_x000D_
Test 4: True_x000D_
Test 5: True_x000D_
Test 6: True_x000D_
Test 7: True_x000D_
Test 8: True_x000D_
Test 9: False_x000D_
Test 10: False_x000D_
Test 11: True_x000D_
Test 12: True_x000D_
Test 13: True_x000D_
Correct tests: 11/13</t>
  </si>
  <si>
    <t>loops: 1, conditionals: 5</t>
  </si>
  <si>
    <t>import heapq
class ListNode:
    def __init__(self, val=0, next=None):
        self.val = val
        self.next = next
def merge_k_sorted_lists(lists: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first node of each list to the heap
    for i, head in enumerate(lists):
        if head:
            heapq.heappush(heap, (head.val, i, head))  # (value, list_index, node)
    dummy = ListNode()
    current = dummy
    while heap: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list_to_linked_list(nums):
    """Converts a list of integers to a linked list."""
    dummy = ListNode()
    current = dummy
    for num in nums:
        current.next = ListNode(num)
        current = current.next
    return dummy.next.next
def linked_list_to_list(head):
    """Converts a linked list to a list of integers."""
    result = []
    while head:
        result.append(head.val)
        head = head.next
    return result
def test_merge_k_sorted_lists():
    """Tests the merge_k_sorted_lists function."""
    tests = [
        ([[1, 4, 5], [1, 3, 4], [2, 6]], [1, 1, 2, 3, 4, 4, 5, 6]),
        ([], []),
        ([[]], []),
        ([[1, 2], [3, 4]], [1, 2, 3, 4]),
        ([[1, 3, 5], [2, 4, 6]], [1, 2, 3, 4, 5, 6]),
        ([[-1, 5, 10], [2, 8], [1, 9, 12, 15]], [-1, 1, 2, 5, 8, 9, 10, 12, 15])
    ]
    correct_tests = 0
    for i, (lists_input, expected_output) in enumerate(tests):
        lists = [list_to_linked_list(lst) for lst in lists_input]
        result = merge_k_sorted_lists(lists)
        actual_output = linked_list_to_list(result)
        if actual_output == expected_output:
            print(f"Test {i+1}: True")
            correct_tests += 1
        else:
            print(f"Test {i+1}: False (Expected: {expected_output}, Actual: {actual_output})")
    print(f"Correct tests: {correct_tests}/{len(tests)}")
if __name__ == '__main__':
    test_merge_k_sorted_lists()</t>
  </si>
  <si>
    <t>Test 1: False (Expected: [1, 1, 2, 3, 4, 4, 5, 6], Actual: [3, 4, 4, 5, 6])_x000D_
Test 2: True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</si>
  <si>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import heapq
    # Create a min-heap to store the nodes
    heap = []
    for i, head in enumerate(lists):
        if head:
            heapq.heappush(heap, (head.val, i, head))  # (value, list_index, node)
    # Create a dummy head for the merged list
    dummy_head = ListNode()
    current = dummy_head
    while heap:
        # Get the smallest node from the heap
        val, list_index, node = heapq.heappop(heap)
        # Add the node to the merged list
        current.next = node
        current = current.next
        # Add the next node from the same list to the heap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lists_of_linked_lists = []
        for lst in lists_input:
            lists_of_linked_lists.append(list_to_linked_list(lst))
        merged_list = mergeKLists(lists_of_linked_lists)
        result = linked_list_to_list(merged_list)
        if result == expected_output: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</si>
  <si>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("anviaj", 6)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</si>
  <si>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False_x000D_
Correct tests: 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</si>
  <si>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([1, 3], [2, 4], 2.5),
        ([1, 2, 3, 4], [5, 6], 3.5),
        ([1, 2], [3, 4, 5, 6], 3.5)
    ]
    correct_tests = 0
    for i, (nums1, nums2, expected_output) in enumerate(test_cases):
        result = findMedianSortedArrays(nums1, nums2)
        if abs(result - expected_output) &lt; 1e-5:  # Use a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</si>
  <si>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Correct tests: 10/10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</si>
  <si>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current character and '*' in the pattern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("a", ".*..", False),
        ("abc", ".*", True),
        ("abc", "a.c", True),
        ("abc", "a.d", False),
        ("aaaaaaaaaaaaab", "a*b", True),
        ("aaaaaaaaaaaaab", "a*a*a*a*a*a*a*a*a*a*c", False),
        ("ab", ".*c", False),
        ("a", ".*", True),
        ("abcd", "d*",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</si>
  <si>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True_x000D_
Test 15: True_x000D_
Correct tests: 15/15</t>
  </si>
  <si>
    <t>loops: 1, conditionals: 6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</si>
  <si>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all_nodes = []
    for head in lists:
        current = head
        while current:
            all_nodes.append(current.val)
            current = current.next
    all_nodes.sort()
    if not all_nodes:
        return None
    dummy_head = ListNode()
    current = dummy_head
    for val in all_nodes:
        current.next = ListNode(val)
        current = current.next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5], [6]], [1, 2, 3, 4, 5, 6]),
        ([[1], [2], [3]], [1, 2, 3]),
        ([[5, 6, 7], [1, 2, 3, 4]], [1, 2, 3, 4, 5, 6, 7])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</si>
  <si>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7, conditionals: 2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</si>
  <si>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of the two numbers as a linked list.
    """
    carry = 0
    head = None
    tail = None
    while l1 or l2 or carry:
        val1 = l1.val if l1 else 0
        val2 = l2.val if l2 else 0
        sum_vals = val1 + val2 + carry
        digit = sum_vals % 10
        carry = sum_vals // 10
        new_node = ListNode(digit)
        if not head:
            head = new_node
            tail = new_node
        else:
            tail.next = new_node
            tail = new_node
        if l1:
            l1 = l1.next
        if l2:
            l2 = l2.next
    return head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test_add_two_numbers():
    """
    Tests the addTwoNumbers function.
    """
    tests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1]),
    ]
    correct_count = 0
    for i, (l1_list, l2_list, expected_output) in enumerate(tests):
        l1 = list_to_linked_list(l1_list)
        l2 = list_to_linked_list(l2_list)
        result_linked_list = addTwoNumbers(l1, l2)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test_add_two_numbers()</t>
  </si>
  <si>
    <t>True_x000D_
True_x000D_
True_x000D_
True_x000D_
4/4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</si>
  <si>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start = 0
    end = 0
    max_length = 0
    char_index_map = {}  # Store the index of each character
    while end &lt; len(s):
        char = s[end]
        if char in char_index_map and char_index_map[char] &gt;= start:
            start = char_index_map[char] + 1
        char_index_map[char] = end
        max_length = max(max_length, end - start + 1)
        end += 1
    return max_length
def test_length_of_longest_substring():
    """
    Tests the length_of_longest_substring function.
    """
    tests = [
        ("abcabcbb", 3),
        ("bbbbb", 1),
        ("pwwkew", 3),
        ("", 0),
        (" ", 1),
        ("au", 2),
        ("dvdf", 3),
        ("tmmzuxt",5)
    ]
    correct_count = 0
    for i, (s, expected_output) in enumerate(tests):
        result = length_of_longest_substring(s)
        if result == expected_output:
            print("True")
            correct_count += 1
        else:
            print("False")
            print(f"Test {i+1} Failed. Expected: {expected_output}, Got: {result}")
    print(f"{correct_count}/{len(tests)}")
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</si>
  <si>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# Even number of elements, median is the average of the middle two
        mid1 = merged_array[n // 2 - 1]
        mid2 = merged_array[n // 2]
        median = (mid1 + mid2) / 2.0
    else:
        # Odd number of elements, median is the middle element
        median = float(merged_array[n // 2])
    return median
def test_find_median_sorted_arrays():
    """
    Tests the find_median_sorted_arrays function.
    """
    tests = [
        ([1, 3], [2], 2.0),
        ([1, 2], [3, 4], 2.5),
        ([0, 0], [0, 0], 0.0),
        ([], [1], 1.0),
        ([2], [], 2.0),
        ([1, 2], [7, 8, 9], 7.0)
    ]
    correct_count = 0
    for i, (nums1, nums2, expected_output) in enumerate(tests):
        result = find_median_sorted_arrays(nums1, nums2)
        if abs(result - expected_output) &lt; 1e-5:  # Using a small tolerance for float comparisons
            print("True")
            correct_count += 1
        else:
            print("False")
            print(f"Test {i+1} Failed. Expected: {expected_output}, Got: {result}")
    print(f"{correct_count}/{len(tests)}")
test_find_median_sorted_arrays()</t>
  </si>
  <si>
    <t>loops: 1, conditionals: 2</t>
  </si>
  <si>
    <t>def is_match(s: str, p: str) -&gt; bool:
    """
    Implements regular expression matching with '.' and '*'.
    Args:
        s: The input string.
        p: The pattern.
    Returns:
        True if the pattern matches the string, False otherwise.
    """
    # Initialize a 2D DP table to store the matching results
    dp = [[False] * (len(p) + 1) for _ in range(len(s) + 1)]
    # Base case: empty string matches empty pattern
    dp[0][0] = True
    # Handle patterns like a*, a*b*, a*b*c* where string is empty
    for j in range(1, len(p) + 1):
        if p[j - 1] == '*':
            dp[0][j] = dp[0][j - 2]
    # Iterate over the string and pattern
    for i in range(1, len(s) + 1):
        for j in range(1, len(p) + 1):
            if p[j - 1] == '.' or p[j - 1] == s[i - 1]:
                # If the characters match or pattern has '.', then it matches
                dp[i][j] = dp[i - 1][j - 1]
            elif p[j - 1] == '*':
                # Handle the '*' character
                dp[i][j] = dp[i][j - 2]  # Match zero occurrences of the preceding character
                if p[j - 2] == '.' or p[j - 2] == s[i - 1]:
                    # Match one or more occurrences of the preceding character
                    dp[i][j] = dp[i][j] or dp[i - 1][j]
            else:
                # Characters do not match
                dp[i][j] = False
    # Return the final result from the bottom-right cell of the DP table
    return dp[len(s)][len(p)]
def test_is_match():
    """
    Tests the is_match function.
    """
    tests = [
        ("aa", "a", False),
        ("aa", "a*", True),
        ("ab", ".*", True),
        ("aab", "c*a*b", True),
        ("mississippi", "mis*is*p*.", False),
        ("abc", "abc", True),
        ("abc", "abc.*", True),
        ("abc", "a.*", False),
        ("ab", ".*c", False),
        ("a", "ab*", True),
        ("aaa", "a*a", True),
        ("aaa", "ab*a", False),
        ("aaaaaaaaaaaaab", "a*b", True),
        ("", ".*", True),
        ("a", "", False),
        ("abcd", "d*", False)
    ]
    correct_count = 0
    for i, (s, p, expected_output) in enumerate(tests):
        result = is_match(s, p)
        if result == expected_output:
            print("True")
            correct_count += 1
        else:
            print("False")
            print(f"Test {i+1} Failed. Expected: {expected_output}, Got: {result}")
    print(f"{correct_count}/{len(tests)}")
test_is_match()</t>
  </si>
  <si>
    <t>True_x000D_
True_x000D_
True_x000D_
True_x000D_
True_x000D_
True_x000D_
True_x000D_
False_x000D_
Test 8 Failed. Expected: False, Got: True_x000D_
True_x000D_
True_x000D_
True_x000D_
True_x000D_
True_x000D_
True_x000D_
True_x000D_
True_x000D_
15/16</t>
  </si>
  <si>
    <t>import heapq
class ListNode:
    def __init__(self, val=0, next=None):
        self.val = val
        self.next = next
def merge_k_sorted_lists(lists: list[ListNode]) -&gt; ListNode:
    """
    Merges k sorted linked-lists into one sorted linked-list.
    Args:
        lists: A list of sorted linked-lists.
    Returns:
        The merged sorted linked-list.
    """
    # Use a min-heap to store the nodes of all the linked lists
    heap = []
    for i, lst in enumerate(lists):
        if lst:
            heapq.heappush(heap, (lst.val, i, lst))  # (value, list_index, node)
    # Create a dummy head for the merged linked list
    dummy = ListNode()
    tail = dummy
    # Iterate until the heap is empty
    while heap:
        # Get the node with the smallest value from the heap
        val, list_index, node = heapq.heappop(heap)
        # Add the node to the merged linked list
        tail.next = node
        tail = node
        # Add the next node from the same list to the heap if it exists
        if node.next:
            heapq.heappush(heap, (node.next.val, list_index, node.next))
    # set the next to None in order to handle case [[]] properly.
    tail.next = None
    return dummy.next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test_merge_k_sorted_lists():
    """
    Tests the merge_k_sorted_lists function.
    """
    tests = [
        ([[1, 4, 5], [1, 3, 4], [2, 6]], [1, 1, 2, 3, 4, 4, 5, 6]),
        ([], []),
        ([[]], []),
        ([[], [1]], [1]),
        ([[1], [2]], [1, 2]),
        ([[1,2,3],[4,5,6],[7,8,9]], [1,2,3,4,5,6,7,8,9]),
        ([[5]],[5])
    ]
    correct_count = 0
    for i, (lists_input, expected_output) in enumerate(tests):
        lists = []
        for lst in lists_input:
            lists.append(list_to_linked_list(lst))
        result_linked_list = merge_k_sorted_lists(lists)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test_merge_k_sorted_lists()</t>
  </si>
  <si>
    <t>True_x000D_
True_x000D_
True_x000D_
True_x000D_
True_x000D_
True_x000D_
True_x000D_
7/7</t>
  </si>
  <si>
    <t>gemini-2.0-flash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</si>
  <si>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result_head = add_two_numbers(l1, l2)
        result_list = linked_list_to_list(result_head)
        if result_list == expected_list:
            print("True")
            correct_count += 1
        else:
            print("False")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</si>
  <si>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correct_count = 0
    total_count = len(test_cases)
    for input_string, expected_output in test_cases:
        result = length_of_longest_substring(input_string)
        if result == expected_output:
            print("True")
            correct_count += 1
        else:
            print("False")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</si>
  <si>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7], 2.5)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</si>
  <si>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</si>
  <si>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8/9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</si>
  <si>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result_head = merge_k_lists(linked_lists)
        result_list = linked_list_to_list(result_head)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</si>
  <si>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correct_count += 1
        else:
            print("False")
    print(f"{correct_count}/{total_count}")
if __name__ == "__main__":
    test_add_two_numbers()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</si>
  <si>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2, 5], [3, 4], 3.0),
        ([1, 3], [2, 4], 2.5)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</si>
  <si>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".*..a*", False),
        ("aaa", "a*a", True),
        ("abc", ".*c", True),
        ("abcd", ".*d",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</si>
  <si>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True_x000D_
True_x000D_
True_x000D_
True_x000D_
10/10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</si>
  <si>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</si>
  <si>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("abc", "a.c", True),
        ("abcd", "a.*d",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</si>
  <si>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9/10</t>
  </si>
  <si>
    <t>class ListNode:
    def __init__(self, val=0, next=None):
        self.val = val
        self.next = next
def merge_k_lists(lists):
    """
    Merges k sorted linked lists into one sorted linked list.
    Args:
        lists: A list of linked lists, each sorted in ascending order.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</si>
  <si>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
    ]
    num_passed = 0
    total_tests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num_passed += 1
        else:
            print("False")
    print(f"{num_passed}/{total_tests}")
if __name__ == '__main__':
    test_add_two_numbers()</t>
  </si>
  <si>
    <t>True_x000D_
True_x000D_
True_x000D_
3/3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</si>
  <si>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num_passed = 0
    total_tests = len(test_cases)
    for s, expected in test_cases:
        result = length_of_longest_substring(s)
        if result == expected:
            print("True")
            num_passed += 1
        else:
            print("False")
    print(f"{num_passed}/{total_tests}")
if __name__ == '__main__':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</si>
  <si>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length = len(merged_array)
    if length % 2 == 0:
        median = (merged_array[length // 2 - 1] + merged_array[length // 2]) / 2.0
    else:
        median = float(merged_array[length // 2])
    return median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3], [2, 4], 2.5)
    ]
    num_passed = 0
    total_tests = len(test_cases)
    for nums1, nums2, expected in test_cases:
        result = find_median_sorted_arrays(nums1, nums2)
        if abs(result - expected) &lt; 1e-5:  # Compare floating-point numbers with tolerance
            print("True")
            num_passed += 1
        else:
            print("False")
    print(f"{num_passed}/{total_tests}")
if __name__ == '__main__':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</si>
  <si>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("ab", ".*c", False)
    ]
    num_passed = 0
    total_tests = len(test_cases)
    for s, p, expected in test_cases:
        result = is_match(s, p)
        if result == expected:
            print("True")
            num_passed += 1
        else:
            print("False")
    print(f"{num_passed}/{total_tests}")
if __name__ == '__main__':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</si>
  <si>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lst in enumerate(lists):
        if lst:
            heapq.heappush(heap, (lst.val, i, lst))
    dummy = ListNode()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([[1],[2],[3]], [1,2,3])
    ]
    num_passed = 0
    total_tests = len(test_cases)
    for lists_of_lists, expected_list in test_cases:
        linked_lists = []
        for lst in lists_of_lists:
            if lst:
                linked_lists.append(list_to_linked_list(lst))
            else:
                linked_lists.append(None)
        result_list = linked_list_to_list(merge_k_lists(linked_lists))
        if result_list == expected_list:
            print("True")
            num_passed += 1
        else:
            print("False")
    print(f"{num_passed}/{total_tests}")
if __name__ == '__main__':
    test_merge_k_lists()</t>
  </si>
  <si>
    <t>loops: 6, conditionals: 5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</si>
  <si>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</si>
  <si>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</si>
  <si>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</si>
  <si>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</si>
  <si>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False),
        ("abc", "a.c",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</si>
  <si>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[list_to_linked_list(lst) for lst in lists_of_lists]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</si>
  <si>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test_add_two_numbers():
    tests = [
        ([2, 4, 3], [5, 6, 4], [7, 0, 8]),
        ([0], [0], [0]),
        ([9, 9, 9, 9, 9, 9, 9], [9, 9, 9, 9], [8, 9, 9, 9, 0, 0, 0, 1])
    ]
    correct_count = 0
    total_count = len(tests)
    for l1_list, l2_list, expected_list in tests:
        l1 = list_to_linked_list(l1_list)
        l2 = list_to_linked_list(l2_list)
        result_head = add_two_numbers(l1, l2)
        result_list = linked_list_to_list(result_head)
        if result_list == expected_list:
            print(True)
            correct_count += 1
        else:
            print(False)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</si>
  <si>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i, char in enumerate(s):
        if char in char_index_map and char_index_map[char] &gt;= start:
            start = char_index_map[char] + 1
        char_index_map[char] = i
        max_length = max(max_length, i - start + 1)
    return max_length
def test_length_of_longest_substring():
    """
    Tests the length_of_longest_substring function with various test cases.
    """
    tests = [
        ("abcabcbb", 3),
        ("bbbbb", 1),
        ("pwwkew", 3),
        ("", 0),
        (" ", 1),
        ("au", 2),
        ("dvdf", 3)
    ]
    correct_count = 0
    total_count = len(tests)
    for input_string, expected_output in tests:
        result = length_of_longest_substring(input_string)
        if result == expected_output:
            print(True)
            correct_count += 1
        else:
            print(False)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</si>
  <si>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 with various test cases.
    """
    tests = [
        ([1, 3], [2], 2.0),
        ([1, 2], [3, 4], 2.5),
        ([0, 0], [0, 0], 0.0),
        ([], [1], 1.0),
        ([2], [], 2.0),
        ([1,2,5], [3,4,6], 3.5)
    ]
    correct_count = 0
    total_count = len(tests)
    for nums1, nums2, expected_output in tests:
        result = find_median_sorted_arrays(nums1, nums2)
        if abs(result - expected_output) &lt; 1e-5:  # Allow for small floating-point errors
            print(True)
            correct_count += 1
        else:
            print(False)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</si>
  <si>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memo = {}  # Use memoization to avoid redundant calculations
    def dp(i, j):
        if (i, j) in memo:
            return memo[(i, j)]
        if j == 0:
            return i == 0
        if p[j - 1] != '*':
            if i &gt; 0 and (s[i - 1] == p[j - 1] or p[j - 1] == '.'):
                memo[(i, j)] = dp(i - 1, j - 1)
                return memo[(i, j)]
            else:
                memo[(i, j)] = False
                return False
        else:
            # Case 1: Zero occurrences of the preceding element
            if dp(i, j - 2):
                memo[(i, j)] = True
                return True
            # Case 2: One or more occurrences of the preceding element
            if i &gt; 0 and (s[i - 1] == p[j - 2] or p[j - 2] == '.'):
                memo[(i, j)] = dp(i - 1, j)
                return memo[(i, j)]
            else:
                memo[(i, j)] = False
                return False
    return dp(len(s), len(p))
def test_is_match():
    """
    Tests the is_match function with various test cases.
    """
    tests = [
        ("aa", "a", False),
        ("aa", "a*", True),
        ("ab", ".*", True),
        ("aab", "c*a*b", True),
        ("mississippi", "mis*is*p*.", False),
        ("a", "ab*", True),
        ("bbbaccbbba", "b*a*a*.c*b*b*a*", True),
    ]
    correct_count = 0
    total_count = len(tests)
    for s, p, expected_output in tests:
        result = is_match(s, p)
        if result == expected_output:
            print(True)
            correct_count += 1
        else:
            print(False)
    print(f"{correct_count}/{total_count}")
if __name__ == "__main__":
    test_is_match()</t>
  </si>
  <si>
    <t>loops: 1, conditionals: 8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</si>
  <si>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test_merge_k_lists():
    """
    Tests the merge_k_lists function with various test cases.
    """
    tests = [
        ([[1, 4, 5], [1, 3, 4], [2, 6]], [1, 1, 2, 3, 4, 4, 5, 6]),
        ([], []),
        ([[]], []),
        ([[1],[2],[3]], [1,2,3])
    ]
    correct_count = 0
    total_count = len(tests)
    for input_lists, expected_output in tests:
        linked_lists = []
        for lst in input_lists:
            linked_lists.append(list_to_linked_list(lst))
        result_head = merge_k_lists(linked_lists)
        result_list = linked_list_to_list(result_head)
        if result_list == expected_output:
            print(True)
            correct_count += 1
        else:
            print(False)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</si>
  <si>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input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False),
        ("", "a*", True),
        ("", ".*", True),
        ("abc", "abc", True),
        ("abc", "ab.", True),
        ("abc", "ab..",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</si>
  <si>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True_x000D_
True_x000D_
True_x000D_
True_x000D_
13/14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</si>
  <si>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([1,2,5], [3,4,6], 3.5)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</si>
  <si>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"a*a", True),
        ("a", ".*..a*",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</si>
  <si>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([[1],[0]], [0,1])
    ]
    correct_count = 0
    total_count = len(test_cases)
    for lists_of_lists, expected_list in test_cases:
        linked_lists = []
        for lst in lists_of_lists:
            linked_lists.append(list_to_linked_list(lst))
        result_head = merge_k_lists(linked_lists)
        result_list = linked_list_to_list(result_head)
        if result_list == expected_list: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</si>
  <si>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addTwoNumbers(l1, l2):
    dummyHead = ListNode(0)
    current = dummyHead
    carry = 0
    while l1 or l2 or carry:
        x = l1.val if l1 else 0
        y = l2.val if l2 else 0
        sum = x + y + carry
        carry = sum // 10
        current.next = ListNode(sum % 10)
        current = current.next
        if l1:
            l1 = l1.next
        if l2:
            l2 = l2.next
    return dummyHead.next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test_addTwoNumbers():
    test_cases = [
        ([2, 4, 3], [5, 6, 4], [7, 0, 8]),
        ([0], [0], [0]),
        ([9, 9, 9, 9, 9, 9, 9], [9, 9, 9, 9], [8, 9, 9, 9, 0, 0, 0, 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correct_count += 1
        else:
            print(False)
    print(f"{correct_count}/{total_tests}")
if __name__ == '__main__':
    test_addTwoNumbers()</t>
  </si>
  <si>
    <t>def lengthOfLongestSubstring(s):
    """
    Given a string s, find the length of the longest substring without repeating characters.
    Example 1:
    Input: s = "abcabcbb"
    Output: 3
    Explanation: The answer is "abc", with the length of 3.
    Example 2:
    Input: s = "bbbbb"
    Output: 1
    Explanation: The answer is "b", with the length of 1.
    Example 3:
    Input: s = "pwwkew"
    Output: 3
    Explanation: The answer is "wke", with the length of 3.
    Notice that the answer must be a substring, "pwke" is a subsequence and not a substring.
    Example 4:
    Input: s = ""
    Output: 0
    Constraints:
    0 &lt;= s.length &lt;= 5 * 104
    s consists of English letters, digits, symbols and spaces.
    """
    n = len(s)
    max_length = 0
    char_index_map = {}
    start = 0
    for end in range(n):
        if s[end] in char_index_map:
            start = max(start, char_index_map[s[end]] + 1)
        char_index_map[s[end]] = end
        max_length = max(max_length, end - start + 1)
    return max_length
def test_lengthOfLongestSubstring():
    test_cases = [
        ("abcabcbb", 3),
        ("bbbbb", 1),
        ("pwwkew", 3),
        ("", 0)
    ]
    correct_count = 0
    total_tests = len(test_cases)
    for input_string, expected_output in test_cases:
        result = lengthOfLongestSubstring(input_string)
        if result == expected_output:
            print(True)
            correct_count += 1
        else:
            print(False)
    print(f"{correct_count}/{total_tests}")
if __name__ == '__main__':
    test_lengthOfLongestSubstring()</t>
  </si>
  <si>
    <t>def findMedianSortedArrays(nums1, nums2):
    """
    Given two sorted arrays nums1 and nums2 of size m and n respectively, return the median of the two sorted arrays.
    Example 1:
    Input: nums1 = [1,3], nums2 = [2]
    Output: 2.00000
    Explanation: merged array = [1,2,3] and median is 2.
    Example 2:
    Input: nums1 = [1,2], nums2 = [3,4]
    Output: 2.50000
    Explanation: merged array = [1,2,3,4] and median is (2 + 3) / 2 = 2.5.
    Example 3:
    Input: nums1 = [0,0], nums2 = [0,0]
    Output: 0.00000
    Example 4:
    Input: nums1 = [], nums2 = [1]
    Output: 1.00000
    Example 5:
    Input: nums1 = [2], nums2 = []
    Output: 2.00000
    Constraints:
    nums1.length == m
    nums2.length == n
    0 &lt;= m &lt;= 1000
    0 &lt;= n &lt;= 1000
    1 &lt;= m + n &lt;= 2000
    -106 &lt;= nums1[i], nums2[i] &lt;= 106
    Follow up: The overall run time complexity should be O(log (m+n)).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test_findMedianSortedArrays():
    test_cases = [
        ([1, 3], [2], 2.0),
        ([1, 2], [3, 4], 2.5),
        ([0, 0], [0, 0], 0.0),
        ([], [1], 1.0),
        ([2], [], 2.0)
    ]
    correct_count = 0
    total_tests = len(test_cases)
    for nums1, nums2, expected_output in test_cases:
        result = findMedianSortedArrays(nums1, nums2)
        if abs(result - expected_output) &lt; 1e-5:  # Account for potential floating-point inaccuracies
            print(True)
            correct_count += 1
        else:
            print(False)
    print(f"{correct_count}/{total_tests}")
if __name__ == '__main__':
    test_findMedianSortedArrays()</t>
  </si>
  <si>
    <t>def isMatch(s, p):
    """
    Given an input string (s) and a pattern (p), implement regular expression matching with support for '.' and '*' where: 
    '.' Matches any single character.​​​​
    '*' Matches zero or more of the preceding element.
    The matching should cover the entire input string (not partial).
    Example 1:
    Input: s = "aa", p = "a"
    Output: false
    Explanation: "a" does not match the entire string "aa".
    Example 2:
    Input: s = "aa", p = "a*"
    Output: true
    Explanation: '*' means zero or more of the preceding element, 'a'. Therefore, by repeating 'a' once, it becomes "aa".
    Example 3:
    Input: s = "ab", p = ".*"
    Output: true
    Explanation: ".*" means "zero or more (*) of any character (.)".
    Example 4:
    Input: s = "aab", p = "c*a*b"
    Output: true
    Explanation: c can be repeated 0 times, a can be repeated 1 time. Therefore, it matches "aab".
    Example 5:
    Input: s = "mississippi", p = "mis*is*p*."
    Output: false
    Constraints:
    0 &lt;= s.length &lt;= 20
    0 &lt;= p.length &lt;= 30
    s contains only lowercase English letters.
    p contains only lowercase English letters, '.', and '*'.
    It is guaranteed for each appearance of the character '*', there will be a previous valid character to match.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test_isMatch():
    test_cases = [
        ("aa", "a", False),
        ("aa", "a*", True),
        ("ab", ".*", True),
        ("aab", "c*a*b", True),
        ("mississippi", "mis*is*p*.", False)
    ]
    correct_count = 0
    total_tests = len(test_cases)
    for s, p, expected_output in test_cases:
        result = isMatch(s, p)
        if result == expected_output:
            print(True)
            correct_count += 1
        else:
            print(False)
    print(f"{correct_count}/{total_tests}")
if __name__ == '__main__':
    test_isMatch()</t>
  </si>
  <si>
    <t>class ListNode:
    def __init__(self, val=0, next=None):
        self.val = val
        self.next = next
def mergeKLists(lists):
    """
    You are given an array of k linked-lists lists, each linked-list is sorted in ascending order.
    Merge all the linked-lists into one sorted linked-list and return it.
    Example 1:
    Input: lists = [[1,4,5],[1,3,4],[2,6]]
    Output: [1,1,2,3,4,4,5,6]
    Explanation: The linked-lists are:
    [
      1-&gt;4-&gt;5,
      1-&gt;3-&gt;4,
      2-&gt;6
    ]
    merging them into one sorted list:
    1-&gt;1-&gt;2-&gt;3-&gt;4-&gt;4-&gt;5-&gt;6
    Example 2:
    Input: lists = []
    Output: []
    Example 3:
    Input: lists = [[]]
    Output: []
    Constraints:
    k == lists.length
    0 &lt;= k &lt;= 10^4
    0 &lt;= lists[i].length &lt;= 500
    -10^4 &lt;= lists[i][j] &lt;= 10^4
    lists[i] is sorted in ascending order.
    The sum of lists[i].length won't exceed 10^4.
    """
    import heapq
    heap = []
    for i, linked_list in enumerate(lists):
      if linked_list:
          heapq.heappush(heap, (linked_list.val, i, linked_list))
    dummy = ListNode(0)
    curr = dummy
    while heap:
      val, list_idx, node = heapq.heappop(heap)
      curr.next = node
      curr = curr.next
      if node.next:
        heapq.heappush(heap, (node.next.val, list_idx, node.next))
    return dummy.next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test_mergeKLists():
    test_cases = [
        ([[1,4,5],[1,3,4],[2,6]], [1,1,2,3,4,4,5,6]),
        ([], []),
        ([[]], [])
    ]
    correct_count = 0
    total_tests = len(test_cases)
    def lists_to_linked_lists(list_of_lists):
      linked_list_array = []
      for lst in list_of_lists:
        if lst:
          linked_list_array.append(list_to_linked_list(lst))
        else:
          linked_list_array.append(None)
      return linked_list_array
    for lists_input, expected_output in test_cases:
        lists_as_linked_lists = lists_to_linked_lists(lists_input)
        result_linked_list = mergeKLists(lists_as_linked_lists)
        if result_linked_list is None:
           result = []
        else:
           result = linked_list_to_list(result_linked_list)
        if result == expected_output:
            print(True)
            correct_count += 1
        else:
            print(False)
    print(f"{correct_count}/{total_tests}")
if __name__ == '__main__':
    test_mergeKLists()</t>
  </si>
  <si>
    <t>loops: 6, conditionals: 6</t>
  </si>
  <si>
    <t>gemini-2.0-pro-exp-02-05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</si>
  <si>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correct_count += 1
        else:
            print("False")
            print(f"  Input: l1={l1_list}, l2={l2_list}")
            print(f"  Expected: {expected_list}")
            print(f"  Got: {result_list}")
    print(f"{correct_count}/{total_tests}")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</si>
  <si>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        print(f"  Input: s = \"{s}\"")
            print(f"  Expected: {expected}")
            print(f"  Got: {result}")
    print(f"{correct_count}/{total_tests}")
run_tests(lengthOfLongestSubstring)</t>
  </si>
  <si>
    <t>loops: 2, conditionals: 2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</si>
  <si>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run_tests(findMedianSortedArrays):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        print(f"  Input: nums1 = {nums1}, nums2 = {nums2}")
            print(f"  Expected: {expected}")
            print(f"  Got: {result}")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</si>
  <si>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"c*", True),
        ("", ".*", True),
        ("a", "", False),
        ("ab", ".*c", False)
    ]
    correct_count = 0
    total_tests = len(test_cases)
    for s, p, expected in test_cases:
        result = isMatch(s, p)
        if result == expected:
            print("True")
            correct_count += 1
        else:
            print("False")
            print(f"  Input: s = \"{s}\", p = \"{p}\"")
            print(f"  Expected: {expected}")
            print(f"  Got: {result}")
    print(f"{correct_count}/{total_tests}")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</si>
  <si>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    ([[1], [0]], [0,1])
    ]
    correct_count = 0
    total_tests = len(test_cases)
    for lists_input, expected_list in test_cases:
        linked_lists = [list_to_linked_list(lst) for lst in lists_input]
        result = mergeKLists(linked_lists)
        result_list = linked_list_to_list(result)
        if result_list == expected_list:
            print("True")
            correct_count += 1
        else:
            print("False")
            print(f"  Input: lists = {lists_input}")
            print(f"  Expected: {expected_list}")
            print(f"  Got: {result_list}")
    print(f"{correct_count}/{total_tests}")
run_tests(mergeKLists)</t>
  </si>
  <si>
    <t>loops: 5, conditionals: 3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</si>
  <si>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</si>
  <si>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</si>
  <si>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abs(result - expected) &lt; 1e-5:  # Use a tolerance for floating-point comparisons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</si>
  <si>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</si>
  <si>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class ListNode:
    def __init__(self, val=0, next=None):
        self.val = val
        self.next = next
def mergeKLists(lists):
    import heapq
    heap = []
    for i, lst in enumerate(lists):
        if lst:
            heapq.heappush(heap, (lst.val, i, lst))
    dummy_head = ListNode(0)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</si>
  <si>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passed_tests += 1
        else:
            print("False")
    print(f"{passed_tests}/{total_tests}")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</si>
  <si>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3),
    ]
    passed_tests = 0
    total_tests = len(test_cases)
    for s, expected in test_cases:
        result = lengthOfLongestSubstring(s)
        if result == expected:
            print("True")
            passed_tests += 1
        else:
            print("False")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</si>
  <si>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run_tests(findMedianSortedArrays):
    test_cases = [
        ([1, 3], [2], 2.0),
        ([1, 2], [3, 4], 2.5),
        ([0, 0], [0, 0], 0.0),
        ([], [1], 1.0),
        ([2], [], 2.0),
    ]
    passed_tests = 0
    total_tests = len(test_cases)
    for nums1, nums2, expected in test_cases:
        result = findMedianSortedArrays(nums1, nums2)
        if result == expected:
            print("True")
            passed_tests += 1
        else:
            print("False")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</si>
  <si>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
    ]
    passed_tests = 0
    total_tests = len(test_cases)
    for s, p, expected in test_cases:
        result = isMatch(s, p)
        if result == expected:
            print("True")
            passed_tests += 1
        else:
            print("False")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</si>
  <si>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heap = []
    for i, lst in enumerate(lists):
        if lst:
            heapq.heappush(heap, (lst.val, i, lst))
    dummy = ListNode(0)
    tail = dummy
    while heap:
        val, i, node = heapq.heappop(heap)
        tail.next = node
        tail = tail.next
        if node.next:
            heapq.heappush(heap, (node.next.val, i, node.next))
    return dummy.next
def list_to_linked_list(lst):
    dummy = ListNode()
    current = dummy
    for val in lst:
        current.next = ListNode(val)
        current = current.next
    return dummy.next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]
    passed_tests = 0
    total_tests = len(test_cases)
    for lists_input, expected_output in test_cases:
        linked_lists = [list_to_linked_list(lst) for lst in lists_input]
        merged_list = mergeKLists(linked_lists)
        result = linked_list_to_list(merged_list)
        if result == expected_output:
            print("True")
            passed_tests += 1
        else:
            print("False")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</si>
  <si>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current.next = ListNode(total_sum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</si>
  <si>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</si>
  <si>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</si>
  <si>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</si>
  <si>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head in lists:
        if head:
            heapq.heappush(heap, (head.val, head))
    dummy = ListNode(0)
    tail = dummy
    while heap:
        val, node = heapq.heappop(heap)
        tail.next = node
        tail = tail.next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</si>
  <si>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passed_tests = 0
    total_tests = len(test_cases)
    for i, (l1_list, l2_list, expected_list) in enumerate(test_cases):
        l1 = list_to_linked_list(l1_list)
        l2 = list_to_linked_list(l2_list)
        result = addTwoNumbers(l1, l2)
        result_list = linked_list_to_list(result)
        if result_list == expected_list:
            print(f"Test {i+1}: True")
            passed_tests += 1
        else:
            print(f"Test {i+1}: False")
    print(f"\n{passed_tests}/{total_tests} tests passed.")
run_tests(addTwoNumbers)</t>
  </si>
  <si>
    <t>Test 1: True_x000D_
Test 2: True_x000D_
Test 3: True_x000D_
Test 4: True_x000D_
_x000D_
4/4 tests passed.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</si>
  <si>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passed_tests = 0
    total_tests = len(test_cases)
    for i, (s, expected) in enumerate(test_cases):
        result = lengthOfLongestSubstring(s)
        if result == expected:
            print(f"Test {i+1}: True")
            passed_tests += 1
        else:
            print(f"Test {i+1}: False")
    print(f"\n{passed_tests}/{total_tests} tests passed.")
run_tests(lengthOfLongestSubstring)</t>
  </si>
  <si>
    <t>Test 1: True_x000D_
Test 2: True_x000D_
Test 3: True_x000D_
Test 4: True_x000D_
Test 5: True_x000D_
Test 6: True_x000D_
Test 7: True_x000D_
_x000D_
7/7 tests passed.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</si>
  <si>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]
    passed_tests = 0
    total_tests = len(test_cases)
    for i, (nums1, nums2, expected) in enumerate(test_cases):
        result = findMedianSortedArrays(nums1, nums2)
        if result == expected:
            print(f"Test {i + 1}: True")
            passed_tests += 1
        else:
            print(f"Test {i + 1}: False")
    print(f"\n{passed_tests}/{total_tests} tests passed.")
run_tests(findMedianSortedArrays)</t>
  </si>
  <si>
    <t>Test 1: True_x000D_
Test 2: True_x000D_
Test 3: True_x000D_
Test 4: True_x000D_
Test 5: True_x000D_
_x000D_
5/5 tests passed.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</si>
  <si>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i, (s, p, expected) in enumerate(test_cases):
        result = isMatch(s, p)
        if result == expected:
            print(f"Test {i+1}: True")
            passed_tests += 1
        else:
            print(f"Test {i+1}: False")
    print(f"\n{passed_tests}/{total_tests} tests passed.")
run_tests(isMatch)</t>
  </si>
  <si>
    <t>Test 1: True_x000D_
Test 2: True_x000D_
Test 3: True_x000D_
Test 4: True_x000D_
Test 5: True_x000D_
Test 6: True_x000D_
Test 7: True_x000D_
Test 8: True_x000D_
Test 9: True_x000D_
_x000D_
9/9 tests passed.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</si>
  <si>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 in enumerate(lists):
        if l:
            heapq.heappush(heap, (l.val, i, l))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run_tests(mergeKLists):
    test_cases = [
        ([[1, 4, 5], [1, 3, 4], [2, 6]], [1, 1, 2, 3, 4, 4, 5, 6]),
        ([], []),
        ([[]], []),
    ]
    passed_tests = 0
    total_tests = len(test_cases)
    for i, (lists_input, expected_list) in enumerate(test_cases):
        linked_lists = [list_to_linked_list(lst) for lst in lists_input]
        result = mergeKLists(linked_lists)
        result_list = linked_list_to_list(result)
        if result_list == expected_list:
            print(f"Test {i + 1}: True")
            passed_tests += 1
        else:
            print(f"Test {i + 1}: False")
    print(f"\n{passed_tests}/{total_tests} tests passed.")
run_tests(mergeKLists)</t>
  </si>
  <si>
    <t>Test 1: True_x000D_
Test 2: True_x000D_
Test 3: True_x000D_
_x000D_
3/3 tests passed.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</si>
  <si>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([2, 4, 3], [5, 6, 4], [7, 0, 8]),
        ([0], [0], [0]),
        ([9, 9, 9, 9, 9, 9, 9], [9, 9, 9, 9], [8, 9, 9, 9, 0, 0, 0, 1]),
        ([9,9], [1], [0,0,1])
    ]
    run_tests(tests)</t>
  </si>
  <si>
    <t>Test 1: True_x000D_
Test 2: True_x000D_
Test 3: True_x000D_
Test 4: True_x000D_
4/4 tests correct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</si>
  <si>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run_tests(tests):
    correct_count = 0
    total_tests = len(tests)
    for i, (input_s, expected_output) in enumerate(tests):
        result = lengthOfLongestSubstring(input_s)
        if result == expected_output:
            print(f"Test {i+1}: True")
            correct_count += 1
        else:
            print(f"Test {i+1}: False")
    print(f"{correct_count}/{total_tests} tests correct")
if __name__ == "__main__":
    tests = [
        ("abcabcbb", 3),
        ("bbbbb", 1),
        ("pwwkew", 3),
        ("", 0),
        (" ", 1),
        ("dvdf", 3),
        ("au", 2)
    ]
    run_tests(tests)</t>
  </si>
  <si>
    <t>Test 1: True_x000D_
Test 2: True_x000D_
Test 3: True_x000D_
Test 4: True_x000D_
Test 5: True_x000D_
Test 6: True_x000D_
Test 7: True_x000D_
7/7 tests correct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</si>
  <si>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run_tests(tests):
    correct_count = 0
    total_tests = len(tests)
    for i, (nums1, nums2, expected_output) in enumerate(tests):
        result = findMedianSortedArrays(nums1, nums2)
        if result == expected_output:
            print(f"Test {i+1}: True")
            correct_count += 1
        else:
            print(f"Test {i+1}: False")
    print(f"{correct_count}/{total_tests} tests correct")
if __name__ == "__main__":
    tests = [
        ([1, 3], [2], 2.0),
        ([1, 2], [3, 4], 2.5),
        ([0, 0], [0, 0], 0.0),
        ([], [1], 1.0),
        ([2], [], 2.0),
    ]
    run_tests(tests)</t>
  </si>
  <si>
    <t>Test 1: True_x000D_
Test 2: True_x000D_
Test 3: True_x000D_
Test 4: True_x000D_
Test 5: True_x000D_
5/5 tests correct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</si>
  <si>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run_tests(tests):
    correct_count = 0
    total_tests = len(tests)
    for i, (s, p, expected_output) in enumerate(tests):
        result = isMatch(s, p)
        if result == expected_output:
            print(f"Test {i+1}: True")
            correct_count += 1
        else:
            print(f"Test {i+1}: False")
    print(f"{correct_count}/{total_tests} tests correct")
if __name__ == "__main__":
    tests = [
        ("aa", "a", False),
        ("aa", "a*", True),
        ("ab", ".*", True),
        ("aab", "c*a*b", True),
        ("mississippi", "mis*is*p*.", False),
        ("mississippi", "mis*is*ip*.", True),
        ("", "c*", True),
        ("a", "ab*", True)
    ]
    run_tests(tests)</t>
  </si>
  <si>
    <t>Test 1: True_x000D_
Test 2: True_x000D_
Test 3: True_x000D_
Test 4: True_x000D_
Test 5: True_x000D_
Test 6: True_x000D_
Test 7: True_x000D_
Test 8: True_x000D_
8/8 tests correct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</si>
  <si>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(input_lists, expected_list) in enumerate(tests):
        linked_lists = [list_to_linked_list(lst) for lst in input_lists]
        result_linked_list = mergeKLists(linked_lists)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([[1, 4, 5], [1, 3, 4], [2, 6]], [1, 1, 2, 3, 4, 4, 5, 6]),
        ([], []),
        ([[]], []),
    ]
    run_tests(tests)</t>
  </si>
  <si>
    <t>Test 1: True_x000D_
Test 2: True_x000D_
Test 3: True_x000D_
3/3 tests correct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</si>
  <si>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</si>
  <si>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</si>
  <si>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</si>
  <si>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i, head in enumerate(lists):
        if head:
            heapq.heappush(heap, (head.val, i, head))
    dummy_head = ListNode(0)
    current = dummy_head
    while heap:
        val, i, node = heapq.heappop(heap)
        current.next = node
        current = current.next
        if node.next:
            heapq.heappush(heap, (node.next.val, i,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(lists_lists, expected_list) in enumerate(test_cases):
        lists = [list_to_linked_list(lst) for lst in lists_lists]
        result_linked_list = func(lists)
        result_list = linked_list_to_list(result_linked_list)
        if result_list == expected_list:
            print("True")
            passed_tests += 1
        else:
            print("False")
            print(f"  Input: lists = {lists_lists}")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</si>
  <si>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run_tests(l1_list, l2_list, expected_list):
    l1 = list_to_linked_list(l1_list)
    l2 = list_to_linked_list(l2_list)
    result = addTwoNumbers(l1, l2)
    result_list = linked_list_to_list(result)
    return result_list == expected_list
def main():
    test_cases = [
        ([2, 4, 3], [5, 6, 4], [7, 0, 8]),
        ([0], [0], [0]),
        ([9, 9, 9, 9, 9, 9, 9], [9, 9, 9, 9], [8, 9, 9, 9, 0, 0, 0, 1]),
        ([9], [1,9,9,9,9,9,9,9,9,9], [0,0,0,0,0,0,0,0,0,0,1])
    ]
    correct_count = 0
    total_tests = len(test_cases)
    for l1_list, l2_list, expected_list in test_cases:
        test_result = run_tests(l1_list, l2_list, expected_list)
        print(test_result)
        if test_result:
            correct_count += 1
    print(f"{correct_count}/{total_tests}")
if __name__ == "__main__":
    main()</t>
  </si>
  <si>
    <t>def lengthOfLongestSubstring(s):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run_tests(s, expected):
    result = lengthOfLongestSubstring(s)
    return result == expected
def main():
    test_cases = [
        ("abcabcbb", 3),
        ("bbbbb", 1),
        ("pwwkew", 3),
        ("", 0),
        (" ", 1),
        ("au", 2),
        ("dvdf", 3)
    ]
    correct_count = 0
    total_tests = len(test_cases)
    for s, expected in test_cases:
        test_result = run_tests(s, expected)
        print(test_result)
        if test_result:
            correct_count += 1
    print(f"{correct_count}/{total_tests}")
if __name__ == "__main__":
    main()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</si>
  <si>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run_tests(nums1, nums2, expected):
    result = findMedianSortedArrays(nums1, nums2)
    return result == expected
def main():
    test_cases = [
        ([1, 3], [2], 2.0),
        ([1, 2], [3, 4], 2.5),
        ([0, 0], [0, 0], 0.0),
        ([], [1], 1.0),
        ([2], [], 2.0),
    ]
    correct_count = 0
    total_tests = len(test_cases)
    for nums1, nums2, expected in test_cases:
        test_result = run_tests(nums1, nums2, expected)
        print(test_result)
        if test_result:
            correct_count += 1
    print(f"{correct_count}/{total_tests}")
if __name__ == "__main__":
    main()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</si>
  <si>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run_tests(s, p, expected):
    result = isMatch(s, p)
    return result == expected
def main():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
    ]
    correct_count = 0
    total_tests = len(test_cases)
    for s, p, expected in test_cases:
        test_result = run_tests(s, p, expected)
        print(test_result)
        if test_result:
            correct_count += 1
    print(f"{correct_count}/{total_tests}")
if __name__ == "__main__":
    main()</t>
  </si>
  <si>
    <t>import heapq
class ListNode:
    def __init__(self, val=0, next=None):
        self.val = val
        self.next = next
    def __lt__(self, other):
        return self.val &lt; other.val
def mergeKLists(lists):
    dummy = ListNode(0)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run_tests(lists_input, expected_list):
    lists = [list_to_linked_list(lst) for lst in lists_input]
    result = mergeKLists(lists)
    result_list = linked_list_to_list(result)
    return result_list == expected_list
def main():
    test_cases = [
        ([[1, 4, 5], [1, 3, 4], [2, 6]], [1, 1, 2, 3, 4, 4, 5, 6]),
        ([], []),
        ([[]], []),
        ([[1], [0]], [0,1])
    ]
    correct_count = 0
    total_tests = len(test_cases)
    for lists_input, expected_list in test_cases:
        test_result = run_tests(lists_input, expected_list)
        print(test_result)
        if test_result:
            correct_count += 1
    print(f"{correct_count}/{total_tests}")
if __name__ == "__main__":
    main()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</si>
  <si>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if __name__ == "__main__":
    run_tests()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</si>
  <si>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run_tests():
    test_cases = [
        ("abcabcbb", 3),
        ("bbbbb", 1),
        ("pwwkew", 3),
        ("", 0),
        (" ", 1),
        ("au", 2),
        ("dvdf", 3)
    ]
    correct_count = 0
    total_tests = len(test_cases)
    for input_string, expected_length in test_cases:
        result = lengthOfLongestSubstring(input_string)
        if result == expected_length:
            print("True")
            correct_count += 1
        else:
            print("False")
    print(f"{correct_count}/{total_tests}")
if __name__ == "__main__":
    run_tests()</t>
  </si>
  <si>
    <t>def findMedianSortedArrays(nums1, nums2):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median = (merged_array[n // 2 - 1] + merged_array[n // 2]) / 2.0
    else:
        median = float(merged_array[n // 2])
    return median
def run_tests():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expected_median in test_cases:
        result = findMedianSortedArrays(nums1, nums2)
        if result == expected_median:
            print("True")
            correct_count += 1
        else:
            print("False")
    print(f"{correct_count}/{total_tests}")
if __name__ == "__main__":
    run_tests()</t>
  </si>
  <si>
    <t>def isMatch(s, p):
    """
    Checks if a string matches a regular expression pattern.
    Args:
        s: The input string.
        p: The regular expression pattern.
    Returns:
        True if the string matches the pattern, False otherwise.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run_tests():
    test_cases = [
        ("aa", "a", False),
        ("aa", "a*", True),
        ("ab", ".*", True),
        ("aab", "c*a*b", True),
        ("mississippi", "mis*is*p*.", False),
        ("mississippi", "mis*is*ip*.", True),
        ("", "", True),
        ("", "a*", True),
        ("a", "", False)
    ]
    correct_count = 0
    total_tests = len(test_cases)
    for s, p, expected_result in test_cases:
        result = isMatch(s, p)
        if result == expected_result:
            print("True")
            correct_count += 1
        else:
            print("False")
    print(f"{correct_count}/{total_tests}")
if __name__ == "__main__":
    run_tests()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</si>
  <si>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merged sorted linked list.
    """
    if not lists:
        return None
    heap = []
    for head in lists:
        if head:
            heapq.heappush(heap, (head.val, head))  # Push (value, node)
    dummy = ListNode(0)
    current = dummy
    while heap:
        val, node = heapq.heappop(heap)
        current.next = node
        current = current.next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  test_cases = [
        ([[1, 4, 5], [1, 3, 4], [2, 6]], [1, 1, 2, 3, 4, 4, 5, 6]),
        ([], []),
        ([[]], []),
          ([[1],[0]],[0,1])
    ]
      correct_count = 0
      total_tests = len(test_cases)
      for lists_input, expected_output in test_cases:
        linked_lists = [list_to_linked_list(lst) for lst in lists_input]
        merged_list = mergeKLists(linked_lists)
        result_list = linked_list_to_list(merged_list)
        if result_list == expected_output:
            print("True")
            correct_count += 1
        else:
          print("False")
      print(f"{correct_count}/{total_tests}")
if __name__ == "__main__":
    run_tests()</t>
  </si>
  <si>
    <t>loops: 5, conditionals: 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</si>
  <si>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run_tests(addTwoNumbers)</t>
  </si>
  <si>
    <t>def lengthOfLongestSubstring(s):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print(f"{correct_count}/{total_tests}")
run_tests(lengthOfLongestSubstring)</t>
  </si>
  <si>
    <t>def findMedianSortedArrays(nums1, nums2):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    ([1,2,3], [4,5,6], 3.5),
        ([1,2], [-1,3], 1.5)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</si>
  <si>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False),
        ("aaa", "ab*a*c*a", True)
    ]
    correct_count = 0
    total_tests = len(test_cases)
    for s, p, expected in test_cases:
        result = isMatch(s, p)
        if result == expected:
            print("True")
            correct_count += 1
        else:
            print("False")
    print(f"{correct_count}/{total_tests}")
run_tests(isMatch)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</si>
  <si>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run_tests(func):
    """Runs tests for the mergeKLists function."""
    test_cases = [
        {
            "input": [[1, 4, 5], [1, 3, 4], [2, 6]],
            "expected": [1, 1, 2, 3, 4, 4, 5, 6],
        },
        {
            "input": [],
            "expected": [],
        },
        {
            "input": [[]],
            "expected": [],
        },
        {
            "input": [[1], [0]],
            "expected": [0, 1]
        }
    ]
    correct_count = 0
    total_tests = len(test_cases)
    for i, test_case in enumerate(test_cases):
        input_lists = [list_to_linked_list(lst) for lst in test_case["input"]]
        expected_list = test_case["expected"]
        result_head = func(input_lists)
        result_list = linked_list_to_list(result_head)
        if result_list == expected_list:
            print(f"True")
            correct_count += 1
        else:
            print(f"False")
            print(f"  Input: {test_case['input']}")
            print(f"  Expected: {expected_list}")
            print(f"  Got: {result_list}")
    print(f"{correct_count}/{total_tests}")
if __name__ == "__main__":
    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</si>
  <si>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l1 = l1.next if l1 else None
        l2 = l2.next if l2 else None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print(f"Test {i+1}: True")
            passed_tests += 1
        else:
            print(f"Test {i+1}: False")
    print(f"\n{passed_tests}/{total_tests} tests passed.")
run_tests(addTwoNumbers)</t>
  </si>
  <si>
    <t>loops: 4, conditionals: 1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</si>
  <si>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 ", 1),
        ("au", 2),
        ("dvdf", 3),
    ]
    passed_tests = 0
    total_tests = len(test_cases)
    for s, expected_output in test_cases:
        actual_output = longest_substring_without_repeating_characters(s)
        if actual_output == expected_output:
            print("True")
            passed_tests += 1
        else:
            print("False")
    print(f"{passed_tests}/{total_tests}")
if __name__ == "__main__":
    test_longest_substring_without_repeating_characters()</t>
  </si>
  <si>
    <t>def find_median_sorted_arrays(nums1, nums2):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
    else:
        median = merged_array[total_length // 2]
    return median
def test_find_median_sorted_arrays():
    test_cases = [
        ([1, 3], [2], 2.00000),
        ([1, 2], [3, 4], 2.50000),
        ([0, 0], [0, 0], 0.00000),
        ([], [1], 1.00000),
        ([2], [], 2.00000),
    ]
    passed_tests = 0
    total_tests = len(test_cases)
    for nums1, nums2, expected_output in test_cases:
        actual_output = find_median_sorted_arrays(nums1, nums2)
        if actual_output == expected_output:
            print("True")
            passed_tests += 1
        else:
            print("False")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</si>
  <si>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'.' Matches any single character.
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test_is_match():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s, p, expected_output in test_cases:
        actual_output = is_match(s, p)
        if actual_output == expected_output:
            print("True")
            passed_tests += 1
        else:
            print("False")
    print(f"{passed_tests}/{total_tests}")
if __name__ == "__main__":
    test_is_match()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</si>
  <si>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test_mergeKLists(lists, expected_output):
    """
    Tests the mergeKLists function.
    Args:
        lists: A list of k sorted linked lists.
        expected_output: The expected output list.
    """
    input_linked_lists = [list_to_linked_list(lst) for lst in lists]
    merged_list = mergeKLists(input_linked_lists)
    output_list = linked_list_to_list(merged_list)
    return output_list == expected_output
def run_tests():
    """Runs test cases for the mergeKLists function."""
    test_cases = [
        ([[1, 4, 5], [1, 3, 4], [2, 6]], [1, 1, 2, 3, 4, 4, 5, 6]),
        ([], []),
        ([[]], []),
        ([[1], [0]], [0, 1]),
    ]
    passed_tests = 0
    total_tests = len(test_cases)
    for i, (lists, expected_output) in enumerate(test_cases):
        result = test_mergeKLists(lists, expected_output)
        print(result)
        if result:
            passed_tests += 1
    print(f"{passed_tests}/{total_tests} tests passed")
if __name__ == "__main__":
    run_tests()</t>
  </si>
  <si>
    <t>True_x000D_
True_x000D_
True_x000D_
True_x000D_
4/4 tests passed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</si>
  <si>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 = val1 + val2 + carry
        carry = total // 10
        current.next = ListNode(total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test_result = result_list == expected_list
        if test_result:
            correct_count += 1
            print("True")
        else:
           print("False")
    print(f"{correct_count}/{total_tests}")
run_tests()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</si>
  <si>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("dvdf", 3),
        ("abba",2)
    ]
    passed_tests = 0
    total_tests = len(test_cases)
    for s, expected_output in test_cases:
        actual_output = longest_substring_without_repeating_characters(s)
        result = actual_output == expected_output
        print(result)
        if result:
            passed_tests += 1
    print(f"{passed_tests}/{total_tests}")
if __name__ == "__main__":
    test_longest_substring_without_repeating_characters()</t>
  </si>
  <si>
    <t>def find_median_sorted_arrays(nums1: list[int], nums2: list[int]) -&gt; float: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test_find_median_sorted_arrays():
    test_cases = [
        ([1, 3], [2], 2.0),
        ([1, 2], [3, 4], 2.5),
        ([0, 0], [0, 0], 0.0),
        ([], [1], 1.0),
        ([2], [], 2.0),
    ]
    passed_tests = 0
    total_tests = len(test_cases)
    for nums1, nums2, expected_output in test_cases:
        actual_output = find_median_sorted_arrays(nums1, nums2)
        result = actual_output == expected_output
        print(result)
        if result:
            passed_tests += 1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</si>
  <si>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    '.' Matches any single character.
    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test_is_match():
    test_cases = [
        ("aa", "a", False),
        ("aa", "a*", True),
        ("ab", ".*", True),
        ("aab", "c*a*b", True),
        ("mississippi", "mis*is*p*.", False),
        ("", "a*", True),
        ("", ".", False),
        ("a", "ab*", True)
    ]
    passed_tests = 0
    total_tests = len(test_cases)
    for s, p, expected_output in test_cases:
        actual_output = is_match(s, p)
        result = actual_output == expected_output
        print(result)
        if result:
            passed_tests += 1
    print(f"{passed_tests}/{total_tests}")
if __name__ == "__main__":
    test_is_match()</t>
  </si>
  <si>
    <t>class ListNode:
    def __init__(self, val=0, next=None):
        self.val = val
        self.next = next
def mergeKLists(lists):
    import heapq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([[1, 4, 5], [1, 3, 4], [2, 6]], [1, 1, 2, 3, 4, 4, 5, 6]),
        ([], []),
        ([[]], []),
    ]
    test_results = []
    correct_tests = 0
    for lists, expected in test_cases:
        linked_lists = [list_to_linked_list(l) for l in lists]
        merged_list = mergeKLists(linked_lists)
        result_list = linked_list_to_list(merged_list)
        test_result = result_list == expected
        test_results.append(test_result)
        if(test_result):
            correct_tests+=1
        print(test_result)
    print(f"{correct_tests}/{len(test_cases)}")
run_tests()</t>
  </si>
  <si>
    <t>Model</t>
  </si>
  <si>
    <t>Temperature</t>
  </si>
  <si>
    <t>Avg Accuracy</t>
  </si>
  <si>
    <t>Avg Time (s)</t>
  </si>
  <si>
    <t>Avg Memory (MB)</t>
  </si>
  <si>
    <t>Avg Complexity</t>
  </si>
  <si>
    <t>Config Label</t>
  </si>
  <si>
    <t>Rank Accuracy</t>
  </si>
  <si>
    <t>Rank Time</t>
  </si>
  <si>
    <t>Rank Memory</t>
  </si>
  <si>
    <t>Rank Complexity</t>
  </si>
  <si>
    <t>Composite Rank</t>
  </si>
  <si>
    <t>Global Best?</t>
  </si>
  <si>
    <t>Best per Model?</t>
  </si>
  <si>
    <t xml:space="preserve">EXPLICACIÓN DE LAS FÓRMULAS EN ESPAÑOL:
Hoja 'Raw Data':
 - 'Total Tests' (columna M): =H + I (true_count + false_count)
 - 'Accuracy' (columna N): =SI(M&gt;0, H/M, "")
 - 'Numeric Complexity' (columna O): Se extraen los valores de 'loops: X, conditionals: Y' usando
   funciones en español: VALOR, ESPACIOS, EXTRAE, HALLAR, LARGO.
Hoja 'Comparisons':
 - 'Avg Accuracy', 'Avg Time (s)', 'Avg Memory (MB)', 'Avg Complexity':
   se calculan con PROMEDIO.SI.CONJUNTO (filtrando por model, temperature, top_p, top_k).
 - 'Config Label': concatena model + parámetros para identificar la configuración.
 - 'Rank Accuracy': JERARQUIA.EQV(E2, rango, 0) =&gt; mayor es mejor.
 - 'Rank Time', 'Rank Memory', 'Rank Complexity': JERARQUIA.EQV(...,1) =&gt; menor es mejor.
 - 'Composite Rank': =PROMEDIO(J, K, L, M)
 - 'Global Best?': marca 'Yes' si la fila tiene el Composite Rank mínimo global =&gt; =SI(N2=MIN($N$2:$N$&lt;last&gt;),"Yes","").
 - 'Best per Model?': marca 'Yes' si la fila tiene el Composite Rank mínimo dentro del mismo modelo =&gt;
   =SI(N2=MIN.SI.CONJUNTO($N$2:$N$&lt;last&gt;, $A$2:$A$&lt;last&gt;, A2), "Yes", "").
Asegúrate de tener Excel 2019 u Office 365 en español para que existan las funciones
MIN.SI.CONJUNTO, PROMEDIO.SI.CONJUNTO y JERARQUIA.EQV. En versiones anteriores no funcionan.
</t>
  </si>
  <si>
    <t>Visualización de Métricas por Configuración (usando funciones en español)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</si>
</sst>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Accuracy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Promedio Accuracy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Comparisons!$E$2:$E$37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Configuración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Tiempo de Ejecución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Promedio Tiempo (s)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Comparisons!$F$2:$F$37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Configuración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de Memoria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Promedio Memoria (MB)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Comparisons!$G$2:$G$37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Configuración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Tiempo vs. Accuracy (por Configuración)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Comparisons!$I$2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"/>
          <c:order val="1"/>
          <c:tx>
            <c:strRef>
              <c:f>Comparisons!$I$3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"/>
          <c:order val="2"/>
          <c:tx>
            <c:strRef>
              <c:f>Comparisons!$I$4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"/>
          <c:order val="3"/>
          <c:tx>
            <c:strRef>
              <c:f>Comparisons!$I$5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strRef>
              <c:f>Comparisons!$I$6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5"/>
          <c:order val="5"/>
          <c:tx>
            <c:strRef>
              <c:f>Comparisons!$I$7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6"/>
          <c:order val="6"/>
          <c:tx>
            <c:strRef>
              <c:f>Comparisons!$I$8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7"/>
          <c:order val="7"/>
          <c:tx>
            <c:strRef>
              <c:f>Comparisons!$I$9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8"/>
          <c:order val="8"/>
          <c:tx>
            <c:strRef>
              <c:f>Comparisons!$I$10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9"/>
          <c:order val="9"/>
          <c:tx>
            <c:strRef>
              <c:f>Comparisons!$I$11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0"/>
          <c:order val="10"/>
          <c:tx>
            <c:strRef>
              <c:f>Comparisons!$I$12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1"/>
          <c:order val="11"/>
          <c:tx>
            <c:strRef>
              <c:f>Comparisons!$I$13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2"/>
          <c:order val="12"/>
          <c:tx>
            <c:strRef>
              <c:f>Comparisons!$I$14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3"/>
          <c:order val="13"/>
          <c:tx>
            <c:strRef>
              <c:f>Comparisons!$I$15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4"/>
          <c:order val="14"/>
          <c:tx>
            <c:strRef>
              <c:f>Comparisons!$I$16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5"/>
          <c:order val="15"/>
          <c:tx>
            <c:strRef>
              <c:f>Comparisons!$I$17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6"/>
          <c:order val="16"/>
          <c:tx>
            <c:strRef>
              <c:f>Comparisons!$I$18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7"/>
          <c:order val="17"/>
          <c:tx>
            <c:strRef>
              <c:f>Comparisons!$I$19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8"/>
          <c:order val="18"/>
          <c:tx>
            <c:strRef>
              <c:f>Comparisons!$I$20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9"/>
          <c:order val="19"/>
          <c:tx>
            <c:strRef>
              <c:f>Comparisons!$I$21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0"/>
          <c:order val="20"/>
          <c:tx>
            <c:strRef>
              <c:f>Comparisons!$I$22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1"/>
          <c:order val="21"/>
          <c:tx>
            <c:strRef>
              <c:f>Comparisons!$I$23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2"/>
          <c:order val="22"/>
          <c:tx>
            <c:strRef>
              <c:f>Comparisons!$I$24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3"/>
          <c:order val="23"/>
          <c:tx>
            <c:strRef>
              <c:f>Comparisons!$I$25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4"/>
          <c:order val="24"/>
          <c:tx>
            <c:strRef>
              <c:f>Comparisons!$I$26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5"/>
          <c:order val="25"/>
          <c:tx>
            <c:strRef>
              <c:f>Comparisons!$I$27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6"/>
          <c:order val="26"/>
          <c:tx>
            <c:strRef>
              <c:f>Comparisons!$I$28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7"/>
          <c:order val="27"/>
          <c:tx>
            <c:strRef>
              <c:f>Comparisons!$I$29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8"/>
          <c:order val="28"/>
          <c:tx>
            <c:strRef>
              <c:f>Comparisons!$I$30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9"/>
          <c:order val="29"/>
          <c:tx>
            <c:strRef>
              <c:f>Comparisons!$I$31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0"/>
          <c:order val="30"/>
          <c:tx>
            <c:strRef>
              <c:f>Comparisons!$I$32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1"/>
          <c:order val="31"/>
          <c:tx>
            <c:strRef>
              <c:f>Comparisons!$I$33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2"/>
          <c:order val="32"/>
          <c:tx>
            <c:strRef>
              <c:f>Comparisons!$I$34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3"/>
          <c:order val="33"/>
          <c:tx>
            <c:strRef>
              <c:f>Comparisons!$I$35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4"/>
          <c:order val="34"/>
          <c:tx>
            <c:strRef>
              <c:f>Comparisons!$I$36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5"/>
          <c:order val="35"/>
          <c:tx>
            <c:strRef>
              <c:f>Comparisons!$I$37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Comparisons!$F$37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Memoria vs. Accuracy (por Configuración)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Comparisons!$I$2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"/>
          <c:order val="1"/>
          <c:tx>
            <c:strRef>
              <c:f>Comparisons!$I$3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"/>
          <c:order val="2"/>
          <c:tx>
            <c:strRef>
              <c:f>Comparisons!$I$4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"/>
          <c:order val="3"/>
          <c:tx>
            <c:strRef>
              <c:f>Comparisons!$I$5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strRef>
              <c:f>Comparisons!$I$6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5"/>
          <c:order val="5"/>
          <c:tx>
            <c:strRef>
              <c:f>Comparisons!$I$7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6"/>
          <c:order val="6"/>
          <c:tx>
            <c:strRef>
              <c:f>Comparisons!$I$8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7"/>
          <c:order val="7"/>
          <c:tx>
            <c:strRef>
              <c:f>Comparisons!$I$9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8"/>
          <c:order val="8"/>
          <c:tx>
            <c:strRef>
              <c:f>Comparisons!$I$10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9"/>
          <c:order val="9"/>
          <c:tx>
            <c:strRef>
              <c:f>Comparisons!$I$11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0"/>
          <c:order val="10"/>
          <c:tx>
            <c:strRef>
              <c:f>Comparisons!$I$12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1"/>
          <c:order val="11"/>
          <c:tx>
            <c:strRef>
              <c:f>Comparisons!$I$13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2"/>
          <c:order val="12"/>
          <c:tx>
            <c:strRef>
              <c:f>Comparisons!$I$14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3"/>
          <c:order val="13"/>
          <c:tx>
            <c:strRef>
              <c:f>Comparisons!$I$15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4"/>
          <c:order val="14"/>
          <c:tx>
            <c:strRef>
              <c:f>Comparisons!$I$16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5"/>
          <c:order val="15"/>
          <c:tx>
            <c:strRef>
              <c:f>Comparisons!$I$17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6"/>
          <c:order val="16"/>
          <c:tx>
            <c:strRef>
              <c:f>Comparisons!$I$18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7"/>
          <c:order val="17"/>
          <c:tx>
            <c:strRef>
              <c:f>Comparisons!$I$19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8"/>
          <c:order val="18"/>
          <c:tx>
            <c:strRef>
              <c:f>Comparisons!$I$20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19"/>
          <c:order val="19"/>
          <c:tx>
            <c:strRef>
              <c:f>Comparisons!$I$21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0"/>
          <c:order val="20"/>
          <c:tx>
            <c:strRef>
              <c:f>Comparisons!$I$22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1"/>
          <c:order val="21"/>
          <c:tx>
            <c:strRef>
              <c:f>Comparisons!$I$23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2"/>
          <c:order val="22"/>
          <c:tx>
            <c:strRef>
              <c:f>Comparisons!$I$24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3"/>
          <c:order val="23"/>
          <c:tx>
            <c:strRef>
              <c:f>Comparisons!$I$25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4"/>
          <c:order val="24"/>
          <c:tx>
            <c:strRef>
              <c:f>Comparisons!$I$26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5"/>
          <c:order val="25"/>
          <c:tx>
            <c:strRef>
              <c:f>Comparisons!$I$27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6"/>
          <c:order val="26"/>
          <c:tx>
            <c:strRef>
              <c:f>Comparisons!$I$28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7"/>
          <c:order val="27"/>
          <c:tx>
            <c:strRef>
              <c:f>Comparisons!$I$29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8"/>
          <c:order val="28"/>
          <c:tx>
            <c:strRef>
              <c:f>Comparisons!$I$30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29"/>
          <c:order val="29"/>
          <c:tx>
            <c:strRef>
              <c:f>Comparisons!$I$31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0"/>
          <c:order val="30"/>
          <c:tx>
            <c:strRef>
              <c:f>Comparisons!$I$32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1"/>
          <c:order val="31"/>
          <c:tx>
            <c:strRef>
              <c:f>Comparisons!$I$33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2"/>
          <c:order val="32"/>
          <c:tx>
            <c:strRef>
              <c:f>Comparisons!$I$34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3"/>
          <c:order val="33"/>
          <c:tx>
            <c:strRef>
              <c:f>Comparisons!$I$35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4"/>
          <c:order val="34"/>
          <c:tx>
            <c:strRef>
              <c:f>Comparisons!$I$36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5"/>
          <c:order val="35"/>
          <c:tx>
            <c:strRef>
              <c:f>Comparisons!$I$37</c:f>
              <c:strCache>
                <c:ptCount val="1"/>
                <c:pt idx="0">
                  <c:v>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Comparisons!$G$37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Comparisons!$E$37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0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10</xdr:col>
      <xdr:colOff>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0</xdr:colOff>
      <xdr:row>36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5" width="10.7109375" customWidth="1"/>
    <col min="6" max="6" width="60.7109375" customWidth="1"/>
    <col min="7" max="7" width="25.7109375" customWidth="1"/>
    <col min="8" max="9" width="12.7109375" customWidth="1"/>
    <col min="10" max="11" width="14.7109375" customWidth="1"/>
    <col min="12" max="12" width="25.7109375" customWidth="1"/>
    <col min="13" max="14" width="15.7109375" customWidth="1"/>
    <col min="15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0</v>
      </c>
      <c r="D2">
        <v>0.1</v>
      </c>
      <c r="E2">
        <v>10</v>
      </c>
      <c r="F2" t="s">
        <v>16</v>
      </c>
      <c r="G2" t="s">
        <v>17</v>
      </c>
      <c r="H2">
        <v>5</v>
      </c>
      <c r="I2">
        <v>0</v>
      </c>
      <c r="J2">
        <v>0.14</v>
      </c>
      <c r="K2">
        <v>2.02</v>
      </c>
      <c r="L2" t="s">
        <v>18</v>
      </c>
      <c r="M2">
        <f>H2+I2</f>
        <v>0</v>
      </c>
      <c r="N2">
        <f>SI(M2&gt;0,H2/M2,"")</f>
        <v>0</v>
      </c>
      <c r="O2">
        <f>VALOR(ESPACIOS(EXTRAE(L2;HALLAR(":";L2)+1;HALLAR(",";L2)-HALLAR(":";L2)-1)))+VALOR(ESPACIOS(EXTRAE(L2;HALLAR("conditionals:";L2)+13;LARGO(L2)))))</f>
        <v>0</v>
      </c>
    </row>
    <row r="3" spans="1:15">
      <c r="A3">
        <v>2</v>
      </c>
      <c r="B3" t="s">
        <v>15</v>
      </c>
      <c r="C3">
        <v>0</v>
      </c>
      <c r="D3">
        <v>0.1</v>
      </c>
      <c r="E3">
        <v>10</v>
      </c>
      <c r="F3" t="s">
        <v>19</v>
      </c>
      <c r="G3" t="s">
        <v>20</v>
      </c>
      <c r="H3">
        <v>8</v>
      </c>
      <c r="I3">
        <v>0</v>
      </c>
      <c r="J3">
        <v>0.11</v>
      </c>
      <c r="K3">
        <v>2.01</v>
      </c>
      <c r="L3" t="s">
        <v>21</v>
      </c>
      <c r="M3">
        <f>H3+I3</f>
        <v>0</v>
      </c>
      <c r="N3">
        <f>SI(M3&gt;0,H3/M3,"")</f>
        <v>0</v>
      </c>
      <c r="O3">
        <f>VALOR(ESPACIOS(EXTRAE(L3;HALLAR(":";L3)+1;HALLAR(",";L3)-HALLAR(":";L3)-1)))+VALOR(ESPACIOS(EXTRAE(L3;HALLAR("conditionals:";L3)+13;LARGO(L3)))))</f>
        <v>0</v>
      </c>
    </row>
    <row r="4" spans="1:15">
      <c r="A4">
        <v>3</v>
      </c>
      <c r="B4" t="s">
        <v>15</v>
      </c>
      <c r="C4">
        <v>0</v>
      </c>
      <c r="D4">
        <v>0.1</v>
      </c>
      <c r="E4">
        <v>10</v>
      </c>
      <c r="F4" t="s">
        <v>22</v>
      </c>
      <c r="G4" t="s">
        <v>23</v>
      </c>
      <c r="H4">
        <v>8</v>
      </c>
      <c r="I4">
        <v>1</v>
      </c>
      <c r="J4">
        <v>0.11</v>
      </c>
      <c r="K4">
        <v>2.01</v>
      </c>
      <c r="L4" t="s">
        <v>24</v>
      </c>
      <c r="M4">
        <f>H4+I4</f>
        <v>0</v>
      </c>
      <c r="N4">
        <f>SI(M4&gt;0,H4/M4,"")</f>
        <v>0</v>
      </c>
      <c r="O4">
        <f>VALOR(ESPACIOS(EXTRAE(L4;HALLAR(":";L4)+1;HALLAR(",";L4)-HALLAR(":";L4)-1)))+VALOR(ESPACIOS(EXTRAE(L4;HALLAR("conditionals:";L4)+13;LARGO(L4)))))</f>
        <v>0</v>
      </c>
    </row>
    <row r="5" spans="1:15">
      <c r="A5">
        <v>4</v>
      </c>
      <c r="B5" t="s">
        <v>15</v>
      </c>
      <c r="C5">
        <v>0</v>
      </c>
      <c r="D5">
        <v>0.1</v>
      </c>
      <c r="E5">
        <v>10</v>
      </c>
      <c r="F5" t="s">
        <v>25</v>
      </c>
      <c r="G5" t="s">
        <v>26</v>
      </c>
      <c r="H5">
        <v>14</v>
      </c>
      <c r="I5">
        <v>0</v>
      </c>
      <c r="J5">
        <v>0.11</v>
      </c>
      <c r="K5">
        <v>2.05</v>
      </c>
      <c r="L5" t="s">
        <v>27</v>
      </c>
      <c r="M5">
        <f>H5+I5</f>
        <v>0</v>
      </c>
      <c r="N5">
        <f>SI(M5&gt;0,H5/M5,"")</f>
        <v>0</v>
      </c>
      <c r="O5">
        <f>VALOR(ESPACIOS(EXTRAE(L5;HALLAR(":";L5)+1;HALLAR(",";L5)-HALLAR(":";L5)-1)))+VALOR(ESPACIOS(EXTRAE(L5;HALLAR("conditionals:";L5)+13;LARGO(L5)))))</f>
        <v>0</v>
      </c>
    </row>
    <row r="6" spans="1:15">
      <c r="A6">
        <v>5</v>
      </c>
      <c r="B6" t="s">
        <v>15</v>
      </c>
      <c r="C6">
        <v>0</v>
      </c>
      <c r="D6">
        <v>0.1</v>
      </c>
      <c r="E6">
        <v>10</v>
      </c>
      <c r="F6" t="s">
        <v>28</v>
      </c>
      <c r="G6" t="s">
        <v>29</v>
      </c>
      <c r="H6">
        <v>6</v>
      </c>
      <c r="I6">
        <v>0</v>
      </c>
      <c r="J6">
        <v>0.11</v>
      </c>
      <c r="K6">
        <v>2</v>
      </c>
      <c r="L6" t="s">
        <v>30</v>
      </c>
      <c r="M6">
        <f>H6+I6</f>
        <v>0</v>
      </c>
      <c r="N6">
        <f>SI(M6&gt;0,H6/M6,"")</f>
        <v>0</v>
      </c>
      <c r="O6">
        <f>VALOR(ESPACIOS(EXTRAE(L6;HALLAR(":";L6)+1;HALLAR(",";L6)-HALLAR(":";L6)-1)))+VALOR(ESPACIOS(EXTRAE(L6;HALLAR("conditionals:";L6)+13;LARGO(L6)))))</f>
        <v>0</v>
      </c>
    </row>
    <row r="7" spans="1:15">
      <c r="A7">
        <v>1</v>
      </c>
      <c r="B7" t="s">
        <v>15</v>
      </c>
      <c r="C7">
        <v>0</v>
      </c>
      <c r="D7">
        <v>0.5</v>
      </c>
      <c r="E7">
        <v>30</v>
      </c>
      <c r="F7" t="s">
        <v>16</v>
      </c>
      <c r="G7" t="s">
        <v>17</v>
      </c>
      <c r="H7">
        <v>5</v>
      </c>
      <c r="I7">
        <v>0</v>
      </c>
      <c r="J7">
        <v>0.11</v>
      </c>
      <c r="K7">
        <v>2.01</v>
      </c>
      <c r="L7" t="s">
        <v>18</v>
      </c>
      <c r="M7">
        <f>H7+I7</f>
        <v>0</v>
      </c>
      <c r="N7">
        <f>SI(M7&gt;0,H7/M7,"")</f>
        <v>0</v>
      </c>
      <c r="O7">
        <f>VALOR(ESPACIOS(EXTRAE(L7;HALLAR(":";L7)+1;HALLAR(",";L7)-HALLAR(":";L7)-1)))+VALOR(ESPACIOS(EXTRAE(L7;HALLAR("conditionals:";L7)+13;LARGO(L7)))))</f>
        <v>0</v>
      </c>
    </row>
    <row r="8" spans="1:15">
      <c r="A8">
        <v>2</v>
      </c>
      <c r="B8" t="s">
        <v>15</v>
      </c>
      <c r="C8">
        <v>0</v>
      </c>
      <c r="D8">
        <v>0.5</v>
      </c>
      <c r="E8">
        <v>30</v>
      </c>
      <c r="F8" t="s">
        <v>19</v>
      </c>
      <c r="G8" t="s">
        <v>20</v>
      </c>
      <c r="H8">
        <v>8</v>
      </c>
      <c r="I8">
        <v>0</v>
      </c>
      <c r="J8">
        <v>0.11</v>
      </c>
      <c r="K8">
        <v>2.01</v>
      </c>
      <c r="L8" t="s">
        <v>21</v>
      </c>
      <c r="M8">
        <f>H8+I8</f>
        <v>0</v>
      </c>
      <c r="N8">
        <f>SI(M8&gt;0,H8/M8,"")</f>
        <v>0</v>
      </c>
      <c r="O8">
        <f>VALOR(ESPACIOS(EXTRAE(L8;HALLAR(":";L8)+1;HALLAR(",";L8)-HALLAR(":";L8)-1)))+VALOR(ESPACIOS(EXTRAE(L8;HALLAR("conditionals:";L8)+13;LARGO(L8)))))</f>
        <v>0</v>
      </c>
    </row>
    <row r="9" spans="1:15">
      <c r="A9">
        <v>3</v>
      </c>
      <c r="B9" t="s">
        <v>15</v>
      </c>
      <c r="C9">
        <v>0</v>
      </c>
      <c r="D9">
        <v>0.5</v>
      </c>
      <c r="E9">
        <v>30</v>
      </c>
      <c r="F9" t="s">
        <v>22</v>
      </c>
      <c r="G9" t="s">
        <v>23</v>
      </c>
      <c r="H9">
        <v>8</v>
      </c>
      <c r="I9">
        <v>1</v>
      </c>
      <c r="J9">
        <v>0.11</v>
      </c>
      <c r="K9">
        <v>2.01</v>
      </c>
      <c r="L9" t="s">
        <v>24</v>
      </c>
      <c r="M9">
        <f>H9+I9</f>
        <v>0</v>
      </c>
      <c r="N9">
        <f>SI(M9&gt;0,H9/M9,"")</f>
        <v>0</v>
      </c>
      <c r="O9">
        <f>VALOR(ESPACIOS(EXTRAE(L9;HALLAR(":";L9)+1;HALLAR(",";L9)-HALLAR(":";L9)-1)))+VALOR(ESPACIOS(EXTRAE(L9;HALLAR("conditionals:";L9)+13;LARGO(L9)))))</f>
        <v>0</v>
      </c>
    </row>
    <row r="10" spans="1:15">
      <c r="A10">
        <v>4</v>
      </c>
      <c r="B10" t="s">
        <v>15</v>
      </c>
      <c r="C10">
        <v>0</v>
      </c>
      <c r="D10">
        <v>0.5</v>
      </c>
      <c r="E10">
        <v>30</v>
      </c>
      <c r="F10" t="s">
        <v>25</v>
      </c>
      <c r="G10" t="s">
        <v>26</v>
      </c>
      <c r="H10">
        <v>14</v>
      </c>
      <c r="I10">
        <v>0</v>
      </c>
      <c r="J10">
        <v>0.11</v>
      </c>
      <c r="K10">
        <v>2.04</v>
      </c>
      <c r="L10" t="s">
        <v>27</v>
      </c>
      <c r="M10">
        <f>H10+I10</f>
        <v>0</v>
      </c>
      <c r="N10">
        <f>SI(M10&gt;0,H10/M10,"")</f>
        <v>0</v>
      </c>
      <c r="O10">
        <f>VALOR(ESPACIOS(EXTRAE(L10;HALLAR(":";L10)+1;HALLAR(",";L10)-HALLAR(":";L10)-1)))+VALOR(ESPACIOS(EXTRAE(L10;HALLAR("conditionals:";L10)+13;LARGO(L10)))))</f>
        <v>0</v>
      </c>
    </row>
    <row r="11" spans="1:15">
      <c r="A11">
        <v>5</v>
      </c>
      <c r="B11" t="s">
        <v>15</v>
      </c>
      <c r="C11">
        <v>0</v>
      </c>
      <c r="D11">
        <v>0.5</v>
      </c>
      <c r="E11">
        <v>30</v>
      </c>
      <c r="F11" t="s">
        <v>28</v>
      </c>
      <c r="G11" t="s">
        <v>29</v>
      </c>
      <c r="H11">
        <v>6</v>
      </c>
      <c r="I11">
        <v>0</v>
      </c>
      <c r="J11">
        <v>0.11</v>
      </c>
      <c r="K11">
        <v>2.05</v>
      </c>
      <c r="L11" t="s">
        <v>30</v>
      </c>
      <c r="M11">
        <f>H11+I11</f>
        <v>0</v>
      </c>
      <c r="N11">
        <f>SI(M11&gt;0,H11/M11,"")</f>
        <v>0</v>
      </c>
      <c r="O11">
        <f>VALOR(ESPACIOS(EXTRAE(L11;HALLAR(":";L11)+1;HALLAR(",";L11)-HALLAR(":";L11)-1)))+VALOR(ESPACIOS(EXTRAE(L11;HALLAR("conditionals:";L11)+13;LARGO(L11)))))</f>
        <v>0</v>
      </c>
    </row>
    <row r="12" spans="1:15">
      <c r="A12">
        <v>1</v>
      </c>
      <c r="B12" t="s">
        <v>15</v>
      </c>
      <c r="C12">
        <v>0</v>
      </c>
      <c r="D12">
        <v>0.95</v>
      </c>
      <c r="E12">
        <v>100</v>
      </c>
      <c r="F12" t="s">
        <v>16</v>
      </c>
      <c r="G12" t="s">
        <v>17</v>
      </c>
      <c r="H12">
        <v>5</v>
      </c>
      <c r="I12">
        <v>0</v>
      </c>
      <c r="J12">
        <v>0.11</v>
      </c>
      <c r="K12">
        <v>2.01</v>
      </c>
      <c r="L12" t="s">
        <v>18</v>
      </c>
      <c r="M12">
        <f>H12+I12</f>
        <v>0</v>
      </c>
      <c r="N12">
        <f>SI(M12&gt;0,H12/M12,"")</f>
        <v>0</v>
      </c>
      <c r="O12">
        <f>VALOR(ESPACIOS(EXTRAE(L12;HALLAR(":";L12)+1;HALLAR(",";L12)-HALLAR(":";L12)-1)))+VALOR(ESPACIOS(EXTRAE(L12;HALLAR("conditionals:";L12)+13;LARGO(L12)))))</f>
        <v>0</v>
      </c>
    </row>
    <row r="13" spans="1:15">
      <c r="A13">
        <v>2</v>
      </c>
      <c r="B13" t="s">
        <v>15</v>
      </c>
      <c r="C13">
        <v>0</v>
      </c>
      <c r="D13">
        <v>0.95</v>
      </c>
      <c r="E13">
        <v>100</v>
      </c>
      <c r="F13" t="s">
        <v>31</v>
      </c>
      <c r="G13" t="s">
        <v>20</v>
      </c>
      <c r="H13">
        <v>8</v>
      </c>
      <c r="I13">
        <v>0</v>
      </c>
      <c r="J13">
        <v>0.11</v>
      </c>
      <c r="K13">
        <v>2.01</v>
      </c>
      <c r="L13" t="s">
        <v>21</v>
      </c>
      <c r="M13">
        <f>H13+I13</f>
        <v>0</v>
      </c>
      <c r="N13">
        <f>SI(M13&gt;0,H13/M13,"")</f>
        <v>0</v>
      </c>
      <c r="O13">
        <f>VALOR(ESPACIOS(EXTRAE(L13;HALLAR(":";L13)+1;HALLAR(",";L13)-HALLAR(":";L13)-1)))+VALOR(ESPACIOS(EXTRAE(L13;HALLAR("conditionals:";L13)+13;LARGO(L13)))))</f>
        <v>0</v>
      </c>
    </row>
    <row r="14" spans="1:15">
      <c r="A14">
        <v>3</v>
      </c>
      <c r="B14" t="s">
        <v>15</v>
      </c>
      <c r="C14">
        <v>0</v>
      </c>
      <c r="D14">
        <v>0.95</v>
      </c>
      <c r="E14">
        <v>100</v>
      </c>
      <c r="F14" t="s">
        <v>32</v>
      </c>
      <c r="G14" t="s">
        <v>23</v>
      </c>
      <c r="H14">
        <v>8</v>
      </c>
      <c r="I14">
        <v>1</v>
      </c>
      <c r="J14">
        <v>0.11</v>
      </c>
      <c r="K14">
        <v>2.03</v>
      </c>
      <c r="L14" t="s">
        <v>24</v>
      </c>
      <c r="M14">
        <f>H14+I14</f>
        <v>0</v>
      </c>
      <c r="N14">
        <f>SI(M14&gt;0,H14/M14,"")</f>
        <v>0</v>
      </c>
      <c r="O14">
        <f>VALOR(ESPACIOS(EXTRAE(L14;HALLAR(":";L14)+1;HALLAR(",";L14)-HALLAR(":";L14)-1)))+VALOR(ESPACIOS(EXTRAE(L14;HALLAR("conditionals:";L14)+13;LARGO(L14)))))</f>
        <v>0</v>
      </c>
    </row>
    <row r="15" spans="1:15">
      <c r="A15">
        <v>4</v>
      </c>
      <c r="B15" t="s">
        <v>15</v>
      </c>
      <c r="C15">
        <v>0</v>
      </c>
      <c r="D15">
        <v>0.95</v>
      </c>
      <c r="E15">
        <v>100</v>
      </c>
      <c r="F15" t="s">
        <v>33</v>
      </c>
      <c r="G15" t="s">
        <v>26</v>
      </c>
      <c r="H15">
        <v>14</v>
      </c>
      <c r="I15">
        <v>0</v>
      </c>
      <c r="J15">
        <v>0.11</v>
      </c>
      <c r="K15">
        <v>2.03</v>
      </c>
      <c r="L15" t="s">
        <v>34</v>
      </c>
      <c r="M15">
        <f>H15+I15</f>
        <v>0</v>
      </c>
      <c r="N15">
        <f>SI(M15&gt;0,H15/M15,"")</f>
        <v>0</v>
      </c>
      <c r="O15">
        <f>VALOR(ESPACIOS(EXTRAE(L15;HALLAR(":";L15)+1;HALLAR(",";L15)-HALLAR(":";L15)-1)))+VALOR(ESPACIOS(EXTRAE(L15;HALLAR("conditionals:";L15)+13;LARGO(L15)))))</f>
        <v>0</v>
      </c>
    </row>
    <row r="16" spans="1:15">
      <c r="A16">
        <v>5</v>
      </c>
      <c r="B16" t="s">
        <v>15</v>
      </c>
      <c r="C16">
        <v>0</v>
      </c>
      <c r="D16">
        <v>0.95</v>
      </c>
      <c r="E16">
        <v>100</v>
      </c>
      <c r="F16" t="s">
        <v>35</v>
      </c>
      <c r="G16" t="s">
        <v>29</v>
      </c>
      <c r="H16">
        <v>6</v>
      </c>
      <c r="I16">
        <v>0</v>
      </c>
      <c r="J16">
        <v>0.11</v>
      </c>
      <c r="K16">
        <v>2.06</v>
      </c>
      <c r="L16" t="s">
        <v>30</v>
      </c>
      <c r="M16">
        <f>H16+I16</f>
        <v>0</v>
      </c>
      <c r="N16">
        <f>SI(M16&gt;0,H16/M16,"")</f>
        <v>0</v>
      </c>
      <c r="O16">
        <f>VALOR(ESPACIOS(EXTRAE(L16;HALLAR(":";L16)+1;HALLAR(",";L16)-HALLAR(":";L16)-1)))+VALOR(ESPACIOS(EXTRAE(L16;HALLAR("conditionals:";L16)+13;LARGO(L16)))))</f>
        <v>0</v>
      </c>
    </row>
    <row r="17" spans="1:15">
      <c r="A17">
        <v>1</v>
      </c>
      <c r="B17" t="s">
        <v>15</v>
      </c>
      <c r="C17">
        <v>0.5</v>
      </c>
      <c r="D17">
        <v>0.1</v>
      </c>
      <c r="E17">
        <v>10</v>
      </c>
      <c r="F17" t="s">
        <v>16</v>
      </c>
      <c r="G17" t="s">
        <v>17</v>
      </c>
      <c r="H17">
        <v>5</v>
      </c>
      <c r="I17">
        <v>0</v>
      </c>
      <c r="J17">
        <v>0.11</v>
      </c>
      <c r="K17">
        <v>2.03</v>
      </c>
      <c r="L17" t="s">
        <v>18</v>
      </c>
      <c r="M17">
        <f>H17+I17</f>
        <v>0</v>
      </c>
      <c r="N17">
        <f>SI(M17&gt;0,H17/M17,"")</f>
        <v>0</v>
      </c>
      <c r="O17">
        <f>VALOR(ESPACIOS(EXTRAE(L17;HALLAR(":";L17)+1;HALLAR(",";L17)-HALLAR(":";L17)-1)))+VALOR(ESPACIOS(EXTRAE(L17;HALLAR("conditionals:";L17)+13;LARGO(L17)))))</f>
        <v>0</v>
      </c>
    </row>
    <row r="18" spans="1:15">
      <c r="A18">
        <v>2</v>
      </c>
      <c r="B18" t="s">
        <v>15</v>
      </c>
      <c r="C18">
        <v>0.5</v>
      </c>
      <c r="D18">
        <v>0.1</v>
      </c>
      <c r="E18">
        <v>10</v>
      </c>
      <c r="F18" t="s">
        <v>19</v>
      </c>
      <c r="G18" t="s">
        <v>20</v>
      </c>
      <c r="H18">
        <v>8</v>
      </c>
      <c r="I18">
        <v>0</v>
      </c>
      <c r="J18">
        <v>0.11</v>
      </c>
      <c r="K18">
        <v>2.03</v>
      </c>
      <c r="L18" t="s">
        <v>21</v>
      </c>
      <c r="M18">
        <f>H18+I18</f>
        <v>0</v>
      </c>
      <c r="N18">
        <f>SI(M18&gt;0,H18/M18,"")</f>
        <v>0</v>
      </c>
      <c r="O18">
        <f>VALOR(ESPACIOS(EXTRAE(L18;HALLAR(":";L18)+1;HALLAR(",";L18)-HALLAR(":";L18)-1)))+VALOR(ESPACIOS(EXTRAE(L18;HALLAR("conditionals:";L18)+13;LARGO(L18)))))</f>
        <v>0</v>
      </c>
    </row>
    <row r="19" spans="1:15">
      <c r="A19">
        <v>3</v>
      </c>
      <c r="B19" t="s">
        <v>15</v>
      </c>
      <c r="C19">
        <v>0.5</v>
      </c>
      <c r="D19">
        <v>0.1</v>
      </c>
      <c r="E19">
        <v>10</v>
      </c>
      <c r="F19" t="s">
        <v>22</v>
      </c>
      <c r="G19" t="s">
        <v>23</v>
      </c>
      <c r="H19">
        <v>8</v>
      </c>
      <c r="I19">
        <v>1</v>
      </c>
      <c r="J19">
        <v>0.11</v>
      </c>
      <c r="K19">
        <v>2.01</v>
      </c>
      <c r="L19" t="s">
        <v>24</v>
      </c>
      <c r="M19">
        <f>H19+I19</f>
        <v>0</v>
      </c>
      <c r="N19">
        <f>SI(M19&gt;0,H19/M19,"")</f>
        <v>0</v>
      </c>
      <c r="O19">
        <f>VALOR(ESPACIOS(EXTRAE(L19;HALLAR(":";L19)+1;HALLAR(",";L19)-HALLAR(":";L19)-1)))+VALOR(ESPACIOS(EXTRAE(L19;HALLAR("conditionals:";L19)+13;LARGO(L19)))))</f>
        <v>0</v>
      </c>
    </row>
    <row r="20" spans="1:15">
      <c r="A20">
        <v>4</v>
      </c>
      <c r="B20" t="s">
        <v>15</v>
      </c>
      <c r="C20">
        <v>0.5</v>
      </c>
      <c r="D20">
        <v>0.1</v>
      </c>
      <c r="E20">
        <v>10</v>
      </c>
      <c r="F20" t="s">
        <v>36</v>
      </c>
      <c r="G20" t="s">
        <v>37</v>
      </c>
      <c r="H20">
        <v>14</v>
      </c>
      <c r="I20">
        <v>1</v>
      </c>
      <c r="J20">
        <v>0.11</v>
      </c>
      <c r="K20">
        <v>2</v>
      </c>
      <c r="L20" t="s">
        <v>34</v>
      </c>
      <c r="M20">
        <f>H20+I20</f>
        <v>0</v>
      </c>
      <c r="N20">
        <f>SI(M20&gt;0,H20/M20,"")</f>
        <v>0</v>
      </c>
      <c r="O20">
        <f>VALOR(ESPACIOS(EXTRAE(L20;HALLAR(":";L20)+1;HALLAR(",";L20)-HALLAR(":";L20)-1)))+VALOR(ESPACIOS(EXTRAE(L20;HALLAR("conditionals:";L20)+13;LARGO(L20)))))</f>
        <v>0</v>
      </c>
    </row>
    <row r="21" spans="1:15">
      <c r="A21">
        <v>5</v>
      </c>
      <c r="B21" t="s">
        <v>15</v>
      </c>
      <c r="C21">
        <v>0.5</v>
      </c>
      <c r="D21">
        <v>0.1</v>
      </c>
      <c r="E21">
        <v>10</v>
      </c>
      <c r="F21" t="s">
        <v>38</v>
      </c>
      <c r="G21" t="s">
        <v>29</v>
      </c>
      <c r="H21">
        <v>6</v>
      </c>
      <c r="I21">
        <v>0</v>
      </c>
      <c r="J21">
        <v>0.11</v>
      </c>
      <c r="K21">
        <v>2.04</v>
      </c>
      <c r="L21" t="s">
        <v>39</v>
      </c>
      <c r="M21">
        <f>H21+I21</f>
        <v>0</v>
      </c>
      <c r="N21">
        <f>SI(M21&gt;0,H21/M21,"")</f>
        <v>0</v>
      </c>
      <c r="O21">
        <f>VALOR(ESPACIOS(EXTRAE(L21;HALLAR(":";L21)+1;HALLAR(",";L21)-HALLAR(":";L21)-1)))+VALOR(ESPACIOS(EXTRAE(L21;HALLAR("conditionals:";L21)+13;LARGO(L21)))))</f>
        <v>0</v>
      </c>
    </row>
    <row r="22" spans="1:15">
      <c r="A22">
        <v>1</v>
      </c>
      <c r="B22" t="s">
        <v>15</v>
      </c>
      <c r="C22">
        <v>0.5</v>
      </c>
      <c r="D22">
        <v>0.5</v>
      </c>
      <c r="E22">
        <v>30</v>
      </c>
      <c r="F22" t="s">
        <v>40</v>
      </c>
      <c r="G22" t="s">
        <v>41</v>
      </c>
      <c r="H22">
        <v>4</v>
      </c>
      <c r="I22">
        <v>0</v>
      </c>
      <c r="J22">
        <v>0.11</v>
      </c>
      <c r="K22">
        <v>2.01</v>
      </c>
      <c r="L22" t="s">
        <v>42</v>
      </c>
      <c r="M22">
        <f>H22+I22</f>
        <v>0</v>
      </c>
      <c r="N22">
        <f>SI(M22&gt;0,H22/M22,"")</f>
        <v>0</v>
      </c>
      <c r="O22">
        <f>VALOR(ESPACIOS(EXTRAE(L22;HALLAR(":";L22)+1;HALLAR(",";L22)-HALLAR(":";L22)-1)))+VALOR(ESPACIOS(EXTRAE(L22;HALLAR("conditionals:";L22)+13;LARGO(L22)))))</f>
        <v>0</v>
      </c>
    </row>
    <row r="23" spans="1:15">
      <c r="A23">
        <v>2</v>
      </c>
      <c r="B23" t="s">
        <v>15</v>
      </c>
      <c r="C23">
        <v>0.5</v>
      </c>
      <c r="D23">
        <v>0.5</v>
      </c>
      <c r="E23">
        <v>30</v>
      </c>
      <c r="F23" t="s">
        <v>43</v>
      </c>
      <c r="G23" t="s">
        <v>44</v>
      </c>
      <c r="H23">
        <v>8</v>
      </c>
      <c r="I23">
        <v>0</v>
      </c>
      <c r="J23">
        <v>0.11</v>
      </c>
      <c r="K23">
        <v>2.02</v>
      </c>
      <c r="L23" t="s">
        <v>45</v>
      </c>
      <c r="M23">
        <f>H23+I23</f>
        <v>0</v>
      </c>
      <c r="N23">
        <f>SI(M23&gt;0,H23/M23,"")</f>
        <v>0</v>
      </c>
      <c r="O23">
        <f>VALOR(ESPACIOS(EXTRAE(L23;HALLAR(":";L23)+1;HALLAR(",";L23)-HALLAR(":";L23)-1)))+VALOR(ESPACIOS(EXTRAE(L23;HALLAR("conditionals:";L23)+13;LARGO(L23)))))</f>
        <v>0</v>
      </c>
    </row>
    <row r="24" spans="1:15">
      <c r="A24">
        <v>3</v>
      </c>
      <c r="B24" t="s">
        <v>15</v>
      </c>
      <c r="C24">
        <v>0.5</v>
      </c>
      <c r="D24">
        <v>0.5</v>
      </c>
      <c r="E24">
        <v>30</v>
      </c>
      <c r="F24" t="s">
        <v>46</v>
      </c>
      <c r="G24" t="s">
        <v>47</v>
      </c>
      <c r="H24">
        <v>8</v>
      </c>
      <c r="I24">
        <v>1</v>
      </c>
      <c r="J24">
        <v>0.11</v>
      </c>
      <c r="K24">
        <v>2.04</v>
      </c>
      <c r="L24" t="s">
        <v>48</v>
      </c>
      <c r="M24">
        <f>H24+I24</f>
        <v>0</v>
      </c>
      <c r="N24">
        <f>SI(M24&gt;0,H24/M24,"")</f>
        <v>0</v>
      </c>
      <c r="O24">
        <f>VALOR(ESPACIOS(EXTRAE(L24;HALLAR(":";L24)+1;HALLAR(",";L24)-HALLAR(":";L24)-1)))+VALOR(ESPACIOS(EXTRAE(L24;HALLAR("conditionals:";L24)+13;LARGO(L24)))))</f>
        <v>0</v>
      </c>
    </row>
    <row r="25" spans="1:15">
      <c r="A25">
        <v>4</v>
      </c>
      <c r="B25" t="s">
        <v>15</v>
      </c>
      <c r="C25">
        <v>0.5</v>
      </c>
      <c r="D25">
        <v>0.5</v>
      </c>
      <c r="E25">
        <v>30</v>
      </c>
      <c r="F25" t="s">
        <v>49</v>
      </c>
      <c r="G25" t="s">
        <v>50</v>
      </c>
      <c r="H25">
        <v>11</v>
      </c>
      <c r="I25">
        <v>2</v>
      </c>
      <c r="J25">
        <v>0.11</v>
      </c>
      <c r="K25">
        <v>2.01</v>
      </c>
      <c r="L25" t="s">
        <v>24</v>
      </c>
      <c r="M25">
        <f>H25+I25</f>
        <v>0</v>
      </c>
      <c r="N25">
        <f>SI(M25&gt;0,H25/M25,"")</f>
        <v>0</v>
      </c>
      <c r="O25">
        <f>VALOR(ESPACIOS(EXTRAE(L25;HALLAR(":";L25)+1;HALLAR(",";L25)-HALLAR(":";L25)-1)))+VALOR(ESPACIOS(EXTRAE(L25;HALLAR("conditionals:";L25)+13;LARGO(L25)))))</f>
        <v>0</v>
      </c>
    </row>
    <row r="26" spans="1:15">
      <c r="A26">
        <v>5</v>
      </c>
      <c r="B26" t="s">
        <v>15</v>
      </c>
      <c r="C26">
        <v>0.5</v>
      </c>
      <c r="D26">
        <v>0.5</v>
      </c>
      <c r="E26">
        <v>30</v>
      </c>
      <c r="F26" t="s">
        <v>51</v>
      </c>
      <c r="G26" t="s">
        <v>44</v>
      </c>
      <c r="H26">
        <v>8</v>
      </c>
      <c r="I26">
        <v>0</v>
      </c>
      <c r="J26">
        <v>0.11</v>
      </c>
      <c r="K26">
        <v>2.01</v>
      </c>
      <c r="L26" t="s">
        <v>52</v>
      </c>
      <c r="M26">
        <f>H26+I26</f>
        <v>0</v>
      </c>
      <c r="N26">
        <f>SI(M26&gt;0,H26/M26,"")</f>
        <v>0</v>
      </c>
      <c r="O26">
        <f>VALOR(ESPACIOS(EXTRAE(L26;HALLAR(":";L26)+1;HALLAR(",";L26)-HALLAR(":";L26)-1)))+VALOR(ESPACIOS(EXTRAE(L26;HALLAR("conditionals:";L26)+13;LARGO(L26)))))</f>
        <v>0</v>
      </c>
    </row>
    <row r="27" spans="1:15">
      <c r="A27">
        <v>1</v>
      </c>
      <c r="B27" t="s">
        <v>15</v>
      </c>
      <c r="C27">
        <v>0.5</v>
      </c>
      <c r="D27">
        <v>0.95</v>
      </c>
      <c r="E27">
        <v>100</v>
      </c>
      <c r="F27" t="s">
        <v>53</v>
      </c>
      <c r="G27" t="s">
        <v>54</v>
      </c>
      <c r="H27">
        <v>5</v>
      </c>
      <c r="I27">
        <v>0</v>
      </c>
      <c r="J27">
        <v>0.11</v>
      </c>
      <c r="K27">
        <v>2.02</v>
      </c>
      <c r="L27" t="s">
        <v>42</v>
      </c>
      <c r="M27">
        <f>H27+I27</f>
        <v>0</v>
      </c>
      <c r="N27">
        <f>SI(M27&gt;0,H27/M27,"")</f>
        <v>0</v>
      </c>
      <c r="O27">
        <f>VALOR(ESPACIOS(EXTRAE(L27;HALLAR(":";L27)+1;HALLAR(",";L27)-HALLAR(":";L27)-1)))+VALOR(ESPACIOS(EXTRAE(L27;HALLAR("conditionals:";L27)+13;LARGO(L27)))))</f>
        <v>0</v>
      </c>
    </row>
    <row r="28" spans="1:15">
      <c r="A28">
        <v>2</v>
      </c>
      <c r="B28" t="s">
        <v>15</v>
      </c>
      <c r="C28">
        <v>0.5</v>
      </c>
      <c r="D28">
        <v>0.95</v>
      </c>
      <c r="E28">
        <v>100</v>
      </c>
      <c r="F28" t="s">
        <v>55</v>
      </c>
      <c r="G28" t="s">
        <v>56</v>
      </c>
      <c r="H28">
        <v>8</v>
      </c>
      <c r="I28">
        <v>1</v>
      </c>
      <c r="J28">
        <v>0.11</v>
      </c>
      <c r="K28">
        <v>2.02</v>
      </c>
      <c r="L28" t="s">
        <v>45</v>
      </c>
      <c r="M28">
        <f>H28+I28</f>
        <v>0</v>
      </c>
      <c r="N28">
        <f>SI(M28&gt;0,H28/M28,"")</f>
        <v>0</v>
      </c>
      <c r="O28">
        <f>VALOR(ESPACIOS(EXTRAE(L28;HALLAR(":";L28)+1;HALLAR(",";L28)-HALLAR(":";L28)-1)))+VALOR(ESPACIOS(EXTRAE(L28;HALLAR("conditionals:";L28)+13;LARGO(L28)))))</f>
        <v>0</v>
      </c>
    </row>
    <row r="29" spans="1:15">
      <c r="A29">
        <v>3</v>
      </c>
      <c r="B29" t="s">
        <v>15</v>
      </c>
      <c r="C29">
        <v>0.5</v>
      </c>
      <c r="D29">
        <v>0.95</v>
      </c>
      <c r="E29">
        <v>100</v>
      </c>
      <c r="F29" t="s">
        <v>57</v>
      </c>
      <c r="G29" t="s">
        <v>56</v>
      </c>
      <c r="H29">
        <v>8</v>
      </c>
      <c r="I29">
        <v>1</v>
      </c>
      <c r="J29">
        <v>0.11</v>
      </c>
      <c r="K29">
        <v>2.03</v>
      </c>
      <c r="L29" t="s">
        <v>48</v>
      </c>
      <c r="M29">
        <f>H29+I29</f>
        <v>0</v>
      </c>
      <c r="N29">
        <f>SI(M29&gt;0,H29/M29,"")</f>
        <v>0</v>
      </c>
      <c r="O29">
        <f>VALOR(ESPACIOS(EXTRAE(L29;HALLAR(":";L29)+1;HALLAR(",";L29)-HALLAR(":";L29)-1)))+VALOR(ESPACIOS(EXTRAE(L29;HALLAR("conditionals:";L29)+13;LARGO(L29)))))</f>
        <v>0</v>
      </c>
    </row>
    <row r="30" spans="1:15">
      <c r="A30">
        <v>4</v>
      </c>
      <c r="B30" t="s">
        <v>15</v>
      </c>
      <c r="C30">
        <v>0.5</v>
      </c>
      <c r="D30">
        <v>0.95</v>
      </c>
      <c r="E30">
        <v>100</v>
      </c>
      <c r="F30" t="s">
        <v>58</v>
      </c>
      <c r="G30" t="s">
        <v>59</v>
      </c>
      <c r="H30">
        <v>16</v>
      </c>
      <c r="I30">
        <v>2</v>
      </c>
      <c r="J30">
        <v>0.11</v>
      </c>
      <c r="K30">
        <v>2.03</v>
      </c>
      <c r="L30" t="s">
        <v>60</v>
      </c>
      <c r="M30">
        <f>H30+I30</f>
        <v>0</v>
      </c>
      <c r="N30">
        <f>SI(M30&gt;0,H30/M30,"")</f>
        <v>0</v>
      </c>
      <c r="O30">
        <f>VALOR(ESPACIOS(EXTRAE(L30;HALLAR(":";L30)+1;HALLAR(",";L30)-HALLAR(":";L30)-1)))+VALOR(ESPACIOS(EXTRAE(L30;HALLAR("conditionals:";L30)+13;LARGO(L30)))))</f>
        <v>0</v>
      </c>
    </row>
    <row r="31" spans="1:15">
      <c r="A31">
        <v>5</v>
      </c>
      <c r="B31" t="s">
        <v>15</v>
      </c>
      <c r="C31">
        <v>0.5</v>
      </c>
      <c r="D31">
        <v>0.95</v>
      </c>
      <c r="E31">
        <v>100</v>
      </c>
      <c r="F31" t="s">
        <v>61</v>
      </c>
      <c r="G31" t="s">
        <v>62</v>
      </c>
      <c r="H31">
        <v>7</v>
      </c>
      <c r="I31">
        <v>0</v>
      </c>
      <c r="J31">
        <v>0.11</v>
      </c>
      <c r="K31">
        <v>2.02</v>
      </c>
      <c r="L31" t="s">
        <v>52</v>
      </c>
      <c r="M31">
        <f>H31+I31</f>
        <v>0</v>
      </c>
      <c r="N31">
        <f>SI(M31&gt;0,H31/M31,"")</f>
        <v>0</v>
      </c>
      <c r="O31">
        <f>VALOR(ESPACIOS(EXTRAE(L31;HALLAR(":";L31)+1;HALLAR(",";L31)-HALLAR(":";L31)-1)))+VALOR(ESPACIOS(EXTRAE(L31;HALLAR("conditionals:";L31)+13;LARGO(L31)))))</f>
        <v>0</v>
      </c>
    </row>
    <row r="32" spans="1:15">
      <c r="A32">
        <v>1</v>
      </c>
      <c r="B32" t="s">
        <v>15</v>
      </c>
      <c r="C32">
        <v>1</v>
      </c>
      <c r="D32">
        <v>0.1</v>
      </c>
      <c r="E32">
        <v>10</v>
      </c>
      <c r="F32" t="s">
        <v>63</v>
      </c>
      <c r="G32" t="s">
        <v>17</v>
      </c>
      <c r="H32">
        <v>5</v>
      </c>
      <c r="I32">
        <v>0</v>
      </c>
      <c r="J32">
        <v>0.11</v>
      </c>
      <c r="K32">
        <v>2.03</v>
      </c>
      <c r="L32" t="s">
        <v>18</v>
      </c>
      <c r="M32">
        <f>H32+I32</f>
        <v>0</v>
      </c>
      <c r="N32">
        <f>SI(M32&gt;0,H32/M32,"")</f>
        <v>0</v>
      </c>
      <c r="O32">
        <f>VALOR(ESPACIOS(EXTRAE(L32;HALLAR(":";L32)+1;HALLAR(",";L32)-HALLAR(":";L32)-1)))+VALOR(ESPACIOS(EXTRAE(L32;HALLAR("conditionals:";L32)+13;LARGO(L32)))))</f>
        <v>0</v>
      </c>
    </row>
    <row r="33" spans="1:15">
      <c r="A33">
        <v>2</v>
      </c>
      <c r="B33" t="s">
        <v>15</v>
      </c>
      <c r="C33">
        <v>1</v>
      </c>
      <c r="D33">
        <v>0.1</v>
      </c>
      <c r="E33">
        <v>10</v>
      </c>
      <c r="F33" t="s">
        <v>64</v>
      </c>
      <c r="G33" t="s">
        <v>65</v>
      </c>
      <c r="H33">
        <v>7</v>
      </c>
      <c r="I33">
        <v>1</v>
      </c>
      <c r="J33">
        <v>0.11</v>
      </c>
      <c r="K33">
        <v>2.02</v>
      </c>
      <c r="L33" t="s">
        <v>21</v>
      </c>
      <c r="M33">
        <f>H33+I33</f>
        <v>0</v>
      </c>
      <c r="N33">
        <f>SI(M33&gt;0,H33/M33,"")</f>
        <v>0</v>
      </c>
      <c r="O33">
        <f>VALOR(ESPACIOS(EXTRAE(L33;HALLAR(":";L33)+1;HALLAR(",";L33)-HALLAR(":";L33)-1)))+VALOR(ESPACIOS(EXTRAE(L33;HALLAR("conditionals:";L33)+13;LARGO(L33)))))</f>
        <v>0</v>
      </c>
    </row>
    <row r="34" spans="1:15">
      <c r="A34">
        <v>3</v>
      </c>
      <c r="B34" t="s">
        <v>15</v>
      </c>
      <c r="C34">
        <v>1</v>
      </c>
      <c r="D34">
        <v>0.1</v>
      </c>
      <c r="E34">
        <v>10</v>
      </c>
      <c r="F34" t="s">
        <v>66</v>
      </c>
      <c r="G34" t="s">
        <v>67</v>
      </c>
      <c r="H34">
        <v>9</v>
      </c>
      <c r="I34">
        <v>0</v>
      </c>
      <c r="J34">
        <v>0.11</v>
      </c>
      <c r="K34">
        <v>2.01</v>
      </c>
      <c r="L34" t="s">
        <v>24</v>
      </c>
      <c r="M34">
        <f>H34+I34</f>
        <v>0</v>
      </c>
      <c r="N34">
        <f>SI(M34&gt;0,H34/M34,"")</f>
        <v>0</v>
      </c>
      <c r="O34">
        <f>VALOR(ESPACIOS(EXTRAE(L34;HALLAR(":";L34)+1;HALLAR(",";L34)-HALLAR(":";L34)-1)))+VALOR(ESPACIOS(EXTRAE(L34;HALLAR("conditionals:";L34)+13;LARGO(L34)))))</f>
        <v>0</v>
      </c>
    </row>
    <row r="35" spans="1:15">
      <c r="A35">
        <v>4</v>
      </c>
      <c r="B35" t="s">
        <v>15</v>
      </c>
      <c r="C35">
        <v>1</v>
      </c>
      <c r="D35">
        <v>0.1</v>
      </c>
      <c r="E35">
        <v>10</v>
      </c>
      <c r="F35" t="s">
        <v>68</v>
      </c>
      <c r="G35" t="s">
        <v>69</v>
      </c>
      <c r="H35">
        <v>16</v>
      </c>
      <c r="I35">
        <v>0</v>
      </c>
      <c r="J35">
        <v>0.11</v>
      </c>
      <c r="K35">
        <v>2.04</v>
      </c>
      <c r="L35" t="s">
        <v>34</v>
      </c>
      <c r="M35">
        <f>H35+I35</f>
        <v>0</v>
      </c>
      <c r="N35">
        <f>SI(M35&gt;0,H35/M35,"")</f>
        <v>0</v>
      </c>
      <c r="O35">
        <f>VALOR(ESPACIOS(EXTRAE(L35;HALLAR(":";L35)+1;HALLAR(",";L35)-HALLAR(":";L35)-1)))+VALOR(ESPACIOS(EXTRAE(L35;HALLAR("conditionals:";L35)+13;LARGO(L35)))))</f>
        <v>0</v>
      </c>
    </row>
    <row r="36" spans="1:15">
      <c r="A36">
        <v>5</v>
      </c>
      <c r="B36" t="s">
        <v>15</v>
      </c>
      <c r="C36">
        <v>1</v>
      </c>
      <c r="D36">
        <v>0.1</v>
      </c>
      <c r="E36">
        <v>10</v>
      </c>
      <c r="F36" t="s">
        <v>70</v>
      </c>
      <c r="G36" t="s">
        <v>17</v>
      </c>
      <c r="H36">
        <v>5</v>
      </c>
      <c r="I36">
        <v>0</v>
      </c>
      <c r="J36">
        <v>0.11</v>
      </c>
      <c r="K36">
        <v>2.03</v>
      </c>
      <c r="L36" t="s">
        <v>30</v>
      </c>
      <c r="M36">
        <f>H36+I36</f>
        <v>0</v>
      </c>
      <c r="N36">
        <f>SI(M36&gt;0,H36/M36,"")</f>
        <v>0</v>
      </c>
      <c r="O36">
        <f>VALOR(ESPACIOS(EXTRAE(L36;HALLAR(":";L36)+1;HALLAR(",";L36)-HALLAR(":";L36)-1)))+VALOR(ESPACIOS(EXTRAE(L36;HALLAR("conditionals:";L36)+13;LARGO(L36)))))</f>
        <v>0</v>
      </c>
    </row>
    <row r="37" spans="1:15">
      <c r="A37">
        <v>1</v>
      </c>
      <c r="B37" t="s">
        <v>15</v>
      </c>
      <c r="C37">
        <v>1</v>
      </c>
      <c r="D37">
        <v>0.5</v>
      </c>
      <c r="E37">
        <v>30</v>
      </c>
      <c r="F37" t="s">
        <v>16</v>
      </c>
      <c r="G37" t="s">
        <v>17</v>
      </c>
      <c r="H37">
        <v>5</v>
      </c>
      <c r="I37">
        <v>0</v>
      </c>
      <c r="J37">
        <v>0.11</v>
      </c>
      <c r="K37">
        <v>2.03</v>
      </c>
      <c r="L37" t="s">
        <v>18</v>
      </c>
      <c r="M37">
        <f>H37+I37</f>
        <v>0</v>
      </c>
      <c r="N37">
        <f>SI(M37&gt;0,H37/M37,"")</f>
        <v>0</v>
      </c>
      <c r="O37">
        <f>VALOR(ESPACIOS(EXTRAE(L37;HALLAR(":";L37)+1;HALLAR(",";L37)-HALLAR(":";L37)-1)))+VALOR(ESPACIOS(EXTRAE(L37;HALLAR("conditionals:";L37)+13;LARGO(L37)))))</f>
        <v>0</v>
      </c>
    </row>
    <row r="38" spans="1:15">
      <c r="A38">
        <v>2</v>
      </c>
      <c r="B38" t="s">
        <v>15</v>
      </c>
      <c r="C38">
        <v>1</v>
      </c>
      <c r="D38">
        <v>0.5</v>
      </c>
      <c r="E38">
        <v>30</v>
      </c>
      <c r="F38" t="s">
        <v>71</v>
      </c>
      <c r="G38" t="s">
        <v>20</v>
      </c>
      <c r="H38">
        <v>8</v>
      </c>
      <c r="I38">
        <v>0</v>
      </c>
      <c r="J38">
        <v>0.11</v>
      </c>
      <c r="K38">
        <v>2.03</v>
      </c>
      <c r="L38" t="s">
        <v>21</v>
      </c>
      <c r="M38">
        <f>H38+I38</f>
        <v>0</v>
      </c>
      <c r="N38">
        <f>SI(M38&gt;0,H38/M38,"")</f>
        <v>0</v>
      </c>
      <c r="O38">
        <f>VALOR(ESPACIOS(EXTRAE(L38;HALLAR(":";L38)+1;HALLAR(",";L38)-HALLAR(":";L38)-1)))+VALOR(ESPACIOS(EXTRAE(L38;HALLAR("conditionals:";L38)+13;LARGO(L38)))))</f>
        <v>0</v>
      </c>
    </row>
    <row r="39" spans="1:15">
      <c r="A39">
        <v>3</v>
      </c>
      <c r="B39" t="s">
        <v>15</v>
      </c>
      <c r="C39">
        <v>1</v>
      </c>
      <c r="D39">
        <v>0.5</v>
      </c>
      <c r="E39">
        <v>30</v>
      </c>
      <c r="F39" t="s">
        <v>72</v>
      </c>
      <c r="G39" t="s">
        <v>67</v>
      </c>
      <c r="H39">
        <v>9</v>
      </c>
      <c r="I39">
        <v>0</v>
      </c>
      <c r="J39">
        <v>0.11</v>
      </c>
      <c r="K39">
        <v>2.06</v>
      </c>
      <c r="L39" t="s">
        <v>24</v>
      </c>
      <c r="M39">
        <f>H39+I39</f>
        <v>0</v>
      </c>
      <c r="N39">
        <f>SI(M39&gt;0,H39/M39,"")</f>
        <v>0</v>
      </c>
      <c r="O39">
        <f>VALOR(ESPACIOS(EXTRAE(L39;HALLAR(":";L39)+1;HALLAR(",";L39)-HALLAR(":";L39)-1)))+VALOR(ESPACIOS(EXTRAE(L39;HALLAR("conditionals:";L39)+13;LARGO(L39)))))</f>
        <v>0</v>
      </c>
    </row>
    <row r="40" spans="1:15">
      <c r="A40">
        <v>4</v>
      </c>
      <c r="B40" t="s">
        <v>15</v>
      </c>
      <c r="C40">
        <v>1</v>
      </c>
      <c r="D40">
        <v>0.5</v>
      </c>
      <c r="E40">
        <v>30</v>
      </c>
      <c r="F40" t="s">
        <v>73</v>
      </c>
      <c r="G40" t="s">
        <v>74</v>
      </c>
      <c r="H40">
        <v>16</v>
      </c>
      <c r="I40">
        <v>1</v>
      </c>
      <c r="J40">
        <v>0.12</v>
      </c>
      <c r="K40">
        <v>2.03</v>
      </c>
      <c r="L40" t="s">
        <v>75</v>
      </c>
      <c r="M40">
        <f>H40+I40</f>
        <v>0</v>
      </c>
      <c r="N40">
        <f>SI(M40&gt;0,H40/M40,"")</f>
        <v>0</v>
      </c>
      <c r="O40">
        <f>VALOR(ESPACIOS(EXTRAE(L40;HALLAR(":";L40)+1;HALLAR(",";L40)-HALLAR(":";L40)-1)))+VALOR(ESPACIOS(EXTRAE(L40;HALLAR("conditionals:";L40)+13;LARGO(L40)))))</f>
        <v>0</v>
      </c>
    </row>
    <row r="41" spans="1:15">
      <c r="A41">
        <v>5</v>
      </c>
      <c r="B41" t="s">
        <v>15</v>
      </c>
      <c r="C41">
        <v>1</v>
      </c>
      <c r="D41">
        <v>0.5</v>
      </c>
      <c r="E41">
        <v>30</v>
      </c>
      <c r="F41" t="s">
        <v>76</v>
      </c>
      <c r="G41" t="s">
        <v>29</v>
      </c>
      <c r="H41">
        <v>6</v>
      </c>
      <c r="I41">
        <v>0</v>
      </c>
      <c r="J41">
        <v>0.12</v>
      </c>
      <c r="K41">
        <v>2.01</v>
      </c>
      <c r="L41" t="s">
        <v>30</v>
      </c>
      <c r="M41">
        <f>H41+I41</f>
        <v>0</v>
      </c>
      <c r="N41">
        <f>SI(M41&gt;0,H41/M41,"")</f>
        <v>0</v>
      </c>
      <c r="O41">
        <f>VALOR(ESPACIOS(EXTRAE(L41;HALLAR(":";L41)+1;HALLAR(",";L41)-HALLAR(":";L41)-1)))+VALOR(ESPACIOS(EXTRAE(L41;HALLAR("conditionals:";L41)+13;LARGO(L41)))))</f>
        <v>0</v>
      </c>
    </row>
    <row r="42" spans="1:15">
      <c r="A42">
        <v>1</v>
      </c>
      <c r="B42" t="s">
        <v>15</v>
      </c>
      <c r="C42">
        <v>1</v>
      </c>
      <c r="D42">
        <v>0.95</v>
      </c>
      <c r="E42">
        <v>100</v>
      </c>
      <c r="F42" t="s">
        <v>77</v>
      </c>
      <c r="G42" t="s">
        <v>54</v>
      </c>
      <c r="H42">
        <v>5</v>
      </c>
      <c r="I42">
        <v>0</v>
      </c>
      <c r="J42">
        <v>0.11</v>
      </c>
      <c r="K42">
        <v>2.04</v>
      </c>
      <c r="L42" t="s">
        <v>18</v>
      </c>
      <c r="M42">
        <f>H42+I42</f>
        <v>0</v>
      </c>
      <c r="N42">
        <f>SI(M42&gt;0,H42/M42,"")</f>
        <v>0</v>
      </c>
      <c r="O42">
        <f>VALOR(ESPACIOS(EXTRAE(L42;HALLAR(":";L42)+1;HALLAR(",";L42)-HALLAR(":";L42)-1)))+VALOR(ESPACIOS(EXTRAE(L42;HALLAR("conditionals:";L42)+13;LARGO(L42)))))</f>
        <v>0</v>
      </c>
    </row>
    <row r="43" spans="1:15">
      <c r="A43">
        <v>2</v>
      </c>
      <c r="B43" t="s">
        <v>15</v>
      </c>
      <c r="C43">
        <v>1</v>
      </c>
      <c r="D43">
        <v>0.95</v>
      </c>
      <c r="E43">
        <v>100</v>
      </c>
      <c r="F43" t="s">
        <v>78</v>
      </c>
      <c r="G43" t="s">
        <v>79</v>
      </c>
      <c r="H43">
        <v>9</v>
      </c>
      <c r="I43">
        <v>0</v>
      </c>
      <c r="J43">
        <v>0.11</v>
      </c>
      <c r="K43">
        <v>2.01</v>
      </c>
      <c r="L43" t="s">
        <v>21</v>
      </c>
      <c r="M43">
        <f>H43+I43</f>
        <v>0</v>
      </c>
      <c r="N43">
        <f>SI(M43&gt;0,H43/M43,"")</f>
        <v>0</v>
      </c>
      <c r="O43">
        <f>VALOR(ESPACIOS(EXTRAE(L43;HALLAR(":";L43)+1;HALLAR(",";L43)-HALLAR(":";L43)-1)))+VALOR(ESPACIOS(EXTRAE(L43;HALLAR("conditionals:";L43)+13;LARGO(L43)))))</f>
        <v>0</v>
      </c>
    </row>
    <row r="44" spans="1:15">
      <c r="A44">
        <v>3</v>
      </c>
      <c r="B44" t="s">
        <v>15</v>
      </c>
      <c r="C44">
        <v>1</v>
      </c>
      <c r="D44">
        <v>0.95</v>
      </c>
      <c r="E44">
        <v>100</v>
      </c>
      <c r="F44" t="s">
        <v>80</v>
      </c>
      <c r="G44" t="s">
        <v>81</v>
      </c>
      <c r="H44">
        <v>10</v>
      </c>
      <c r="I44">
        <v>1</v>
      </c>
      <c r="J44">
        <v>0.11</v>
      </c>
      <c r="K44">
        <v>2.04</v>
      </c>
      <c r="L44" t="s">
        <v>24</v>
      </c>
      <c r="M44">
        <f>H44+I44</f>
        <v>0</v>
      </c>
      <c r="N44">
        <f>SI(M44&gt;0,H44/M44,"")</f>
        <v>0</v>
      </c>
      <c r="O44">
        <f>VALOR(ESPACIOS(EXTRAE(L44;HALLAR(":";L44)+1;HALLAR(",";L44)-HALLAR(":";L44)-1)))+VALOR(ESPACIOS(EXTRAE(L44;HALLAR("conditionals:";L44)+13;LARGO(L44)))))</f>
        <v>0</v>
      </c>
    </row>
    <row r="45" spans="1:15">
      <c r="A45">
        <v>4</v>
      </c>
      <c r="B45" t="s">
        <v>15</v>
      </c>
      <c r="C45">
        <v>1</v>
      </c>
      <c r="D45">
        <v>0.95</v>
      </c>
      <c r="E45">
        <v>100</v>
      </c>
      <c r="F45" t="s">
        <v>82</v>
      </c>
      <c r="G45" t="s">
        <v>83</v>
      </c>
      <c r="H45">
        <v>11</v>
      </c>
      <c r="I45">
        <v>2</v>
      </c>
      <c r="J45">
        <v>0.11</v>
      </c>
      <c r="K45">
        <v>2.02</v>
      </c>
      <c r="L45" t="s">
        <v>84</v>
      </c>
      <c r="M45">
        <f>H45+I45</f>
        <v>0</v>
      </c>
      <c r="N45">
        <f>SI(M45&gt;0,H45/M45,"")</f>
        <v>0</v>
      </c>
      <c r="O45">
        <f>VALOR(ESPACIOS(EXTRAE(L45;HALLAR(":";L45)+1;HALLAR(",";L45)-HALLAR(":";L45)-1)))+VALOR(ESPACIOS(EXTRAE(L45;HALLAR("conditionals:";L45)+13;LARGO(L45)))))</f>
        <v>0</v>
      </c>
    </row>
    <row r="46" spans="1:15">
      <c r="A46">
        <v>5</v>
      </c>
      <c r="B46" t="s">
        <v>15</v>
      </c>
      <c r="C46">
        <v>1</v>
      </c>
      <c r="D46">
        <v>0.95</v>
      </c>
      <c r="E46">
        <v>100</v>
      </c>
      <c r="F46" t="s">
        <v>85</v>
      </c>
      <c r="G46" t="s">
        <v>86</v>
      </c>
      <c r="H46">
        <v>1</v>
      </c>
      <c r="I46">
        <v>1</v>
      </c>
      <c r="J46">
        <v>0.11</v>
      </c>
      <c r="K46">
        <v>2.01</v>
      </c>
      <c r="L46" t="s">
        <v>30</v>
      </c>
      <c r="M46">
        <f>H46+I46</f>
        <v>0</v>
      </c>
      <c r="N46">
        <f>SI(M46&gt;0,H46/M46,"")</f>
        <v>0</v>
      </c>
      <c r="O46">
        <f>VALOR(ESPACIOS(EXTRAE(L46;HALLAR(":";L46)+1;HALLAR(",";L46)-HALLAR(":";L46)-1)))+VALOR(ESPACIOS(EXTRAE(L46;HALLAR("conditionals:";L46)+13;LARGO(L46)))))</f>
        <v>0</v>
      </c>
    </row>
    <row r="47" spans="1:15">
      <c r="A47">
        <v>1</v>
      </c>
      <c r="B47" t="s">
        <v>15</v>
      </c>
      <c r="C47">
        <v>2</v>
      </c>
      <c r="D47">
        <v>0.1</v>
      </c>
      <c r="E47">
        <v>10</v>
      </c>
      <c r="F47" t="s">
        <v>16</v>
      </c>
      <c r="G47" t="s">
        <v>17</v>
      </c>
      <c r="H47">
        <v>5</v>
      </c>
      <c r="I47">
        <v>0</v>
      </c>
      <c r="J47">
        <v>0.11</v>
      </c>
      <c r="K47">
        <v>2.01</v>
      </c>
      <c r="L47" t="s">
        <v>18</v>
      </c>
      <c r="M47">
        <f>H47+I47</f>
        <v>0</v>
      </c>
      <c r="N47">
        <f>SI(M47&gt;0,H47/M47,"")</f>
        <v>0</v>
      </c>
      <c r="O47">
        <f>VALOR(ESPACIOS(EXTRAE(L47;HALLAR(":";L47)+1;HALLAR(",";L47)-HALLAR(":";L47)-1)))+VALOR(ESPACIOS(EXTRAE(L47;HALLAR("conditionals:";L47)+13;LARGO(L47)))))</f>
        <v>0</v>
      </c>
    </row>
    <row r="48" spans="1:15">
      <c r="A48">
        <v>2</v>
      </c>
      <c r="B48" t="s">
        <v>15</v>
      </c>
      <c r="C48">
        <v>2</v>
      </c>
      <c r="D48">
        <v>0.1</v>
      </c>
      <c r="E48">
        <v>10</v>
      </c>
      <c r="F48" t="s">
        <v>19</v>
      </c>
      <c r="G48" t="s">
        <v>20</v>
      </c>
      <c r="H48">
        <v>8</v>
      </c>
      <c r="I48">
        <v>0</v>
      </c>
      <c r="J48">
        <v>0.12</v>
      </c>
      <c r="K48">
        <v>2.01</v>
      </c>
      <c r="L48" t="s">
        <v>21</v>
      </c>
      <c r="M48">
        <f>H48+I48</f>
        <v>0</v>
      </c>
      <c r="N48">
        <f>SI(M48&gt;0,H48/M48,"")</f>
        <v>0</v>
      </c>
      <c r="O48">
        <f>VALOR(ESPACIOS(EXTRAE(L48;HALLAR(":";L48)+1;HALLAR(",";L48)-HALLAR(":";L48)-1)))+VALOR(ESPACIOS(EXTRAE(L48;HALLAR("conditionals:";L48)+13;LARGO(L48)))))</f>
        <v>0</v>
      </c>
    </row>
    <row r="49" spans="1:15">
      <c r="A49">
        <v>3</v>
      </c>
      <c r="B49" t="s">
        <v>15</v>
      </c>
      <c r="C49">
        <v>2</v>
      </c>
      <c r="D49">
        <v>0.1</v>
      </c>
      <c r="E49">
        <v>10</v>
      </c>
      <c r="F49" t="s">
        <v>22</v>
      </c>
      <c r="G49" t="s">
        <v>23</v>
      </c>
      <c r="H49">
        <v>8</v>
      </c>
      <c r="I49">
        <v>1</v>
      </c>
      <c r="J49">
        <v>0.11</v>
      </c>
      <c r="K49">
        <v>2.01</v>
      </c>
      <c r="L49" t="s">
        <v>24</v>
      </c>
      <c r="M49">
        <f>H49+I49</f>
        <v>0</v>
      </c>
      <c r="N49">
        <f>SI(M49&gt;0,H49/M49,"")</f>
        <v>0</v>
      </c>
      <c r="O49">
        <f>VALOR(ESPACIOS(EXTRAE(L49;HALLAR(":";L49)+1;HALLAR(",";L49)-HALLAR(":";L49)-1)))+VALOR(ESPACIOS(EXTRAE(L49;HALLAR("conditionals:";L49)+13;LARGO(L49)))))</f>
        <v>0</v>
      </c>
    </row>
    <row r="50" spans="1:15">
      <c r="A50">
        <v>4</v>
      </c>
      <c r="B50" t="s">
        <v>15</v>
      </c>
      <c r="C50">
        <v>2</v>
      </c>
      <c r="D50">
        <v>0.1</v>
      </c>
      <c r="E50">
        <v>10</v>
      </c>
      <c r="F50" t="s">
        <v>25</v>
      </c>
      <c r="G50" t="s">
        <v>26</v>
      </c>
      <c r="H50">
        <v>14</v>
      </c>
      <c r="I50">
        <v>0</v>
      </c>
      <c r="J50">
        <v>0.11</v>
      </c>
      <c r="K50">
        <v>2.06</v>
      </c>
      <c r="L50" t="s">
        <v>27</v>
      </c>
      <c r="M50">
        <f>H50+I50</f>
        <v>0</v>
      </c>
      <c r="N50">
        <f>SI(M50&gt;0,H50/M50,"")</f>
        <v>0</v>
      </c>
      <c r="O50">
        <f>VALOR(ESPACIOS(EXTRAE(L50;HALLAR(":";L50)+1;HALLAR(",";L50)-HALLAR(":";L50)-1)))+VALOR(ESPACIOS(EXTRAE(L50;HALLAR("conditionals:";L50)+13;LARGO(L50)))))</f>
        <v>0</v>
      </c>
    </row>
    <row r="51" spans="1:15">
      <c r="A51">
        <v>5</v>
      </c>
      <c r="B51" t="s">
        <v>15</v>
      </c>
      <c r="C51">
        <v>2</v>
      </c>
      <c r="D51">
        <v>0.1</v>
      </c>
      <c r="E51">
        <v>10</v>
      </c>
      <c r="F51" t="s">
        <v>87</v>
      </c>
      <c r="G51" t="s">
        <v>29</v>
      </c>
      <c r="H51">
        <v>6</v>
      </c>
      <c r="I51">
        <v>0</v>
      </c>
      <c r="J51">
        <v>0.11</v>
      </c>
      <c r="K51">
        <v>2.02</v>
      </c>
      <c r="L51" t="s">
        <v>39</v>
      </c>
      <c r="M51">
        <f>H51+I51</f>
        <v>0</v>
      </c>
      <c r="N51">
        <f>SI(M51&gt;0,H51/M51,"")</f>
        <v>0</v>
      </c>
      <c r="O51">
        <f>VALOR(ESPACIOS(EXTRAE(L51;HALLAR(":";L51)+1;HALLAR(",";L51)-HALLAR(":";L51)-1)))+VALOR(ESPACIOS(EXTRAE(L51;HALLAR("conditionals:";L51)+13;LARGO(L51)))))</f>
        <v>0</v>
      </c>
    </row>
    <row r="52" spans="1:15">
      <c r="A52">
        <v>1</v>
      </c>
      <c r="B52" t="s">
        <v>15</v>
      </c>
      <c r="C52">
        <v>2</v>
      </c>
      <c r="D52">
        <v>0.5</v>
      </c>
      <c r="E52">
        <v>30</v>
      </c>
      <c r="F52" t="s">
        <v>40</v>
      </c>
      <c r="G52" t="s">
        <v>41</v>
      </c>
      <c r="H52">
        <v>4</v>
      </c>
      <c r="I52">
        <v>0</v>
      </c>
      <c r="J52">
        <v>0.11</v>
      </c>
      <c r="K52">
        <v>2.01</v>
      </c>
      <c r="L52" t="s">
        <v>42</v>
      </c>
      <c r="M52">
        <f>H52+I52</f>
        <v>0</v>
      </c>
      <c r="N52">
        <f>SI(M52&gt;0,H52/M52,"")</f>
        <v>0</v>
      </c>
      <c r="O52">
        <f>VALOR(ESPACIOS(EXTRAE(L52;HALLAR(":";L52)+1;HALLAR(",";L52)-HALLAR(":";L52)-1)))+VALOR(ESPACIOS(EXTRAE(L52;HALLAR("conditionals:";L52)+13;LARGO(L52)))))</f>
        <v>0</v>
      </c>
    </row>
    <row r="53" spans="1:15">
      <c r="A53">
        <v>2</v>
      </c>
      <c r="B53" t="s">
        <v>15</v>
      </c>
      <c r="C53">
        <v>2</v>
      </c>
      <c r="D53">
        <v>0.5</v>
      </c>
      <c r="E53">
        <v>30</v>
      </c>
      <c r="F53" t="s">
        <v>88</v>
      </c>
      <c r="G53" t="s">
        <v>89</v>
      </c>
      <c r="H53">
        <v>7</v>
      </c>
      <c r="I53">
        <v>1</v>
      </c>
      <c r="J53">
        <v>0.11</v>
      </c>
      <c r="K53">
        <v>2.04</v>
      </c>
      <c r="L53" t="s">
        <v>45</v>
      </c>
      <c r="M53">
        <f>H53+I53</f>
        <v>0</v>
      </c>
      <c r="N53">
        <f>SI(M53&gt;0,H53/M53,"")</f>
        <v>0</v>
      </c>
      <c r="O53">
        <f>VALOR(ESPACIOS(EXTRAE(L53;HALLAR(":";L53)+1;HALLAR(",";L53)-HALLAR(":";L53)-1)))+VALOR(ESPACIOS(EXTRAE(L53;HALLAR("conditionals:";L53)+13;LARGO(L53)))))</f>
        <v>0</v>
      </c>
    </row>
    <row r="54" spans="1:15">
      <c r="A54">
        <v>3</v>
      </c>
      <c r="B54" t="s">
        <v>15</v>
      </c>
      <c r="C54">
        <v>2</v>
      </c>
      <c r="D54">
        <v>0.5</v>
      </c>
      <c r="E54">
        <v>30</v>
      </c>
      <c r="F54" t="s">
        <v>90</v>
      </c>
      <c r="G54" t="s">
        <v>91</v>
      </c>
      <c r="H54">
        <v>10</v>
      </c>
      <c r="I54">
        <v>0</v>
      </c>
      <c r="J54">
        <v>0.11</v>
      </c>
      <c r="K54">
        <v>2.04</v>
      </c>
      <c r="L54" t="s">
        <v>48</v>
      </c>
      <c r="M54">
        <f>H54+I54</f>
        <v>0</v>
      </c>
      <c r="N54">
        <f>SI(M54&gt;0,H54/M54,"")</f>
        <v>0</v>
      </c>
      <c r="O54">
        <f>VALOR(ESPACIOS(EXTRAE(L54;HALLAR(":";L54)+1;HALLAR(",";L54)-HALLAR(":";L54)-1)))+VALOR(ESPACIOS(EXTRAE(L54;HALLAR("conditionals:";L54)+13;LARGO(L54)))))</f>
        <v>0</v>
      </c>
    </row>
    <row r="55" spans="1:15">
      <c r="A55">
        <v>4</v>
      </c>
      <c r="B55" t="s">
        <v>15</v>
      </c>
      <c r="C55">
        <v>2</v>
      </c>
      <c r="D55">
        <v>0.5</v>
      </c>
      <c r="E55">
        <v>30</v>
      </c>
      <c r="F55" t="s">
        <v>92</v>
      </c>
      <c r="G55" t="s">
        <v>93</v>
      </c>
      <c r="H55">
        <v>15</v>
      </c>
      <c r="I55">
        <v>0</v>
      </c>
      <c r="J55">
        <v>0.11</v>
      </c>
      <c r="K55">
        <v>2.02</v>
      </c>
      <c r="L55" t="s">
        <v>94</v>
      </c>
      <c r="M55">
        <f>H55+I55</f>
        <v>0</v>
      </c>
      <c r="N55">
        <f>SI(M55&gt;0,H55/M55,"")</f>
        <v>0</v>
      </c>
      <c r="O55">
        <f>VALOR(ESPACIOS(EXTRAE(L55;HALLAR(":";L55)+1;HALLAR(",";L55)-HALLAR(":";L55)-1)))+VALOR(ESPACIOS(EXTRAE(L55;HALLAR("conditionals:";L55)+13;LARGO(L55)))))</f>
        <v>0</v>
      </c>
    </row>
    <row r="56" spans="1:15">
      <c r="A56">
        <v>5</v>
      </c>
      <c r="B56" t="s">
        <v>15</v>
      </c>
      <c r="C56">
        <v>2</v>
      </c>
      <c r="D56">
        <v>0.5</v>
      </c>
      <c r="E56">
        <v>30</v>
      </c>
      <c r="F56" t="s">
        <v>95</v>
      </c>
      <c r="G56" t="s">
        <v>62</v>
      </c>
      <c r="H56">
        <v>7</v>
      </c>
      <c r="I56">
        <v>0</v>
      </c>
      <c r="J56">
        <v>0.11</v>
      </c>
      <c r="K56">
        <v>2.01</v>
      </c>
      <c r="L56" t="s">
        <v>96</v>
      </c>
      <c r="M56">
        <f>H56+I56</f>
        <v>0</v>
      </c>
      <c r="N56">
        <f>SI(M56&gt;0,H56/M56,"")</f>
        <v>0</v>
      </c>
      <c r="O56">
        <f>VALOR(ESPACIOS(EXTRAE(L56;HALLAR(":";L56)+1;HALLAR(",";L56)-HALLAR(":";L56)-1)))+VALOR(ESPACIOS(EXTRAE(L56;HALLAR("conditionals:";L56)+13;LARGO(L56)))))</f>
        <v>0</v>
      </c>
    </row>
    <row r="57" spans="1:15">
      <c r="A57">
        <v>1</v>
      </c>
      <c r="B57" t="s">
        <v>15</v>
      </c>
      <c r="C57">
        <v>2</v>
      </c>
      <c r="D57">
        <v>0.95</v>
      </c>
      <c r="E57">
        <v>100</v>
      </c>
      <c r="F57" t="s">
        <v>97</v>
      </c>
      <c r="G57" t="s">
        <v>98</v>
      </c>
      <c r="H57">
        <v>4</v>
      </c>
      <c r="I57">
        <v>0</v>
      </c>
      <c r="J57">
        <v>0.11</v>
      </c>
      <c r="K57">
        <v>2.04</v>
      </c>
      <c r="L57" t="s">
        <v>60</v>
      </c>
      <c r="M57">
        <f>H57+I57</f>
        <v>0</v>
      </c>
      <c r="N57">
        <f>SI(M57&gt;0,H57/M57,"")</f>
        <v>0</v>
      </c>
      <c r="O57">
        <f>VALOR(ESPACIOS(EXTRAE(L57;HALLAR(":";L57)+1;HALLAR(",";L57)-HALLAR(":";L57)-1)))+VALOR(ESPACIOS(EXTRAE(L57;HALLAR("conditionals:";L57)+13;LARGO(L57)))))</f>
        <v>0</v>
      </c>
    </row>
    <row r="58" spans="1:15">
      <c r="A58">
        <v>2</v>
      </c>
      <c r="B58" t="s">
        <v>15</v>
      </c>
      <c r="C58">
        <v>2</v>
      </c>
      <c r="D58">
        <v>0.95</v>
      </c>
      <c r="E58">
        <v>100</v>
      </c>
      <c r="F58" t="s">
        <v>99</v>
      </c>
      <c r="G58" t="s">
        <v>20</v>
      </c>
      <c r="H58">
        <v>8</v>
      </c>
      <c r="I58">
        <v>0</v>
      </c>
      <c r="J58">
        <v>0.11</v>
      </c>
      <c r="K58">
        <v>2.02</v>
      </c>
      <c r="L58" t="s">
        <v>45</v>
      </c>
      <c r="M58">
        <f>H58+I58</f>
        <v>0</v>
      </c>
      <c r="N58">
        <f>SI(M58&gt;0,H58/M58,"")</f>
        <v>0</v>
      </c>
      <c r="O58">
        <f>VALOR(ESPACIOS(EXTRAE(L58;HALLAR(":";L58)+1;HALLAR(",";L58)-HALLAR(":";L58)-1)))+VALOR(ESPACIOS(EXTRAE(L58;HALLAR("conditionals:";L58)+13;LARGO(L58)))))</f>
        <v>0</v>
      </c>
    </row>
    <row r="59" spans="1:15">
      <c r="A59">
        <v>3</v>
      </c>
      <c r="B59" t="s">
        <v>15</v>
      </c>
      <c r="C59">
        <v>2</v>
      </c>
      <c r="D59">
        <v>0.95</v>
      </c>
      <c r="E59">
        <v>100</v>
      </c>
      <c r="F59" t="s">
        <v>100</v>
      </c>
      <c r="G59" t="s">
        <v>29</v>
      </c>
      <c r="H59">
        <v>6</v>
      </c>
      <c r="I59">
        <v>0</v>
      </c>
      <c r="J59">
        <v>0.11</v>
      </c>
      <c r="K59">
        <v>2.03</v>
      </c>
      <c r="L59" t="s">
        <v>101</v>
      </c>
      <c r="M59">
        <f>H59+I59</f>
        <v>0</v>
      </c>
      <c r="N59">
        <f>SI(M59&gt;0,H59/M59,"")</f>
        <v>0</v>
      </c>
      <c r="O59">
        <f>VALOR(ESPACIOS(EXTRAE(L59;HALLAR(":";L59)+1;HALLAR(",";L59)-HALLAR(":";L59)-1)))+VALOR(ESPACIOS(EXTRAE(L59;HALLAR("conditionals:";L59)+13;LARGO(L59)))))</f>
        <v>0</v>
      </c>
    </row>
    <row r="60" spans="1:15">
      <c r="A60">
        <v>4</v>
      </c>
      <c r="B60" t="s">
        <v>15</v>
      </c>
      <c r="C60">
        <v>2</v>
      </c>
      <c r="D60">
        <v>0.95</v>
      </c>
      <c r="E60">
        <v>100</v>
      </c>
      <c r="F60" t="s">
        <v>102</v>
      </c>
      <c r="G60" t="s">
        <v>103</v>
      </c>
      <c r="H60">
        <v>16</v>
      </c>
      <c r="I60">
        <v>2</v>
      </c>
      <c r="J60">
        <v>0.11</v>
      </c>
      <c r="K60">
        <v>2.05</v>
      </c>
      <c r="L60" t="s">
        <v>60</v>
      </c>
      <c r="M60">
        <f>H60+I60</f>
        <v>0</v>
      </c>
      <c r="N60">
        <f>SI(M60&gt;0,H60/M60,"")</f>
        <v>0</v>
      </c>
      <c r="O60">
        <f>VALOR(ESPACIOS(EXTRAE(L60;HALLAR(":";L60)+1;HALLAR(",";L60)-HALLAR(":";L60)-1)))+VALOR(ESPACIOS(EXTRAE(L60;HALLAR("conditionals:";L60)+13;LARGO(L60)))))</f>
        <v>0</v>
      </c>
    </row>
    <row r="61" spans="1:15">
      <c r="A61">
        <v>5</v>
      </c>
      <c r="B61" t="s">
        <v>15</v>
      </c>
      <c r="C61">
        <v>2</v>
      </c>
      <c r="D61">
        <v>0.95</v>
      </c>
      <c r="E61">
        <v>100</v>
      </c>
      <c r="F61" t="s">
        <v>104</v>
      </c>
      <c r="G61" t="s">
        <v>105</v>
      </c>
      <c r="H61">
        <v>7</v>
      </c>
      <c r="I61">
        <v>0</v>
      </c>
      <c r="J61">
        <v>0.11</v>
      </c>
      <c r="K61">
        <v>2.03</v>
      </c>
      <c r="L61" t="s">
        <v>39</v>
      </c>
      <c r="M61">
        <f>H61+I61</f>
        <v>0</v>
      </c>
      <c r="N61">
        <f>SI(M61&gt;0,H61/M61,"")</f>
        <v>0</v>
      </c>
      <c r="O61">
        <f>VALOR(ESPACIOS(EXTRAE(L61;HALLAR(":";L61)+1;HALLAR(",";L61)-HALLAR(":";L61)-1)))+VALOR(ESPACIOS(EXTRAE(L61;HALLAR("conditionals:";L61)+13;LARGO(L61)))))</f>
        <v>0</v>
      </c>
    </row>
    <row r="62" spans="1:15">
      <c r="A62">
        <v>1</v>
      </c>
      <c r="B62" t="s">
        <v>106</v>
      </c>
      <c r="C62">
        <v>0</v>
      </c>
      <c r="D62">
        <v>0.1</v>
      </c>
      <c r="E62">
        <v>10</v>
      </c>
      <c r="F62" t="s">
        <v>107</v>
      </c>
      <c r="G62" t="s">
        <v>17</v>
      </c>
      <c r="H62">
        <v>5</v>
      </c>
      <c r="I62">
        <v>0</v>
      </c>
      <c r="J62">
        <v>0.11</v>
      </c>
      <c r="K62">
        <v>2.01</v>
      </c>
      <c r="L62" t="s">
        <v>18</v>
      </c>
      <c r="M62">
        <f>H62+I62</f>
        <v>0</v>
      </c>
      <c r="N62">
        <f>SI(M62&gt;0,H62/M62,"")</f>
        <v>0</v>
      </c>
      <c r="O62">
        <f>VALOR(ESPACIOS(EXTRAE(L62;HALLAR(":";L62)+1;HALLAR(",";L62)-HALLAR(":";L62)-1)))+VALOR(ESPACIOS(EXTRAE(L62;HALLAR("conditionals:";L62)+13;LARGO(L62)))))</f>
        <v>0</v>
      </c>
    </row>
    <row r="63" spans="1:15">
      <c r="A63">
        <v>2</v>
      </c>
      <c r="B63" t="s">
        <v>106</v>
      </c>
      <c r="C63">
        <v>0</v>
      </c>
      <c r="D63">
        <v>0.1</v>
      </c>
      <c r="E63">
        <v>10</v>
      </c>
      <c r="F63" t="s">
        <v>108</v>
      </c>
      <c r="G63" t="s">
        <v>105</v>
      </c>
      <c r="H63">
        <v>7</v>
      </c>
      <c r="I63">
        <v>0</v>
      </c>
      <c r="J63">
        <v>0.11</v>
      </c>
      <c r="K63">
        <v>2.01</v>
      </c>
      <c r="L63" t="s">
        <v>45</v>
      </c>
      <c r="M63">
        <f>H63+I63</f>
        <v>0</v>
      </c>
      <c r="N63">
        <f>SI(M63&gt;0,H63/M63,"")</f>
        <v>0</v>
      </c>
      <c r="O63">
        <f>VALOR(ESPACIOS(EXTRAE(L63;HALLAR(":";L63)+1;HALLAR(",";L63)-HALLAR(":";L63)-1)))+VALOR(ESPACIOS(EXTRAE(L63;HALLAR("conditionals:";L63)+13;LARGO(L63)))))</f>
        <v>0</v>
      </c>
    </row>
    <row r="64" spans="1:15">
      <c r="A64">
        <v>3</v>
      </c>
      <c r="B64" t="s">
        <v>106</v>
      </c>
      <c r="C64">
        <v>0</v>
      </c>
      <c r="D64">
        <v>0.1</v>
      </c>
      <c r="E64">
        <v>10</v>
      </c>
      <c r="F64" t="s">
        <v>109</v>
      </c>
      <c r="G64" t="s">
        <v>105</v>
      </c>
      <c r="H64">
        <v>7</v>
      </c>
      <c r="I64">
        <v>0</v>
      </c>
      <c r="J64">
        <v>0.11</v>
      </c>
      <c r="K64">
        <v>2.02</v>
      </c>
      <c r="L64" t="s">
        <v>48</v>
      </c>
      <c r="M64">
        <f>H64+I64</f>
        <v>0</v>
      </c>
      <c r="N64">
        <f>SI(M64&gt;0,H64/M64,"")</f>
        <v>0</v>
      </c>
      <c r="O64">
        <f>VALOR(ESPACIOS(EXTRAE(L64;HALLAR(":";L64)+1;HALLAR(",";L64)-HALLAR(":";L64)-1)))+VALOR(ESPACIOS(EXTRAE(L64;HALLAR("conditionals:";L64)+13;LARGO(L64)))))</f>
        <v>0</v>
      </c>
    </row>
    <row r="65" spans="1:15">
      <c r="A65">
        <v>4</v>
      </c>
      <c r="B65" t="s">
        <v>106</v>
      </c>
      <c r="C65">
        <v>0</v>
      </c>
      <c r="D65">
        <v>0.1</v>
      </c>
      <c r="E65">
        <v>10</v>
      </c>
      <c r="F65" t="s">
        <v>110</v>
      </c>
      <c r="G65" t="s">
        <v>111</v>
      </c>
      <c r="H65">
        <v>8</v>
      </c>
      <c r="I65">
        <v>1</v>
      </c>
      <c r="J65">
        <v>0.11</v>
      </c>
      <c r="K65">
        <v>2.04</v>
      </c>
      <c r="L65" t="s">
        <v>27</v>
      </c>
      <c r="M65">
        <f>H65+I65</f>
        <v>0</v>
      </c>
      <c r="N65">
        <f>SI(M65&gt;0,H65/M65,"")</f>
        <v>0</v>
      </c>
      <c r="O65">
        <f>VALOR(ESPACIOS(EXTRAE(L65;HALLAR(":";L65)+1;HALLAR(",";L65)-HALLAR(":";L65)-1)))+VALOR(ESPACIOS(EXTRAE(L65;HALLAR("conditionals:";L65)+13;LARGO(L65)))))</f>
        <v>0</v>
      </c>
    </row>
    <row r="66" spans="1:15">
      <c r="A66">
        <v>5</v>
      </c>
      <c r="B66" t="s">
        <v>106</v>
      </c>
      <c r="C66">
        <v>0</v>
      </c>
      <c r="D66">
        <v>0.1</v>
      </c>
      <c r="E66">
        <v>10</v>
      </c>
      <c r="F66" t="s">
        <v>112</v>
      </c>
      <c r="G66" t="s">
        <v>17</v>
      </c>
      <c r="H66">
        <v>5</v>
      </c>
      <c r="I66">
        <v>0</v>
      </c>
      <c r="J66">
        <v>0.11</v>
      </c>
      <c r="K66">
        <v>2.01</v>
      </c>
      <c r="L66" t="s">
        <v>39</v>
      </c>
      <c r="M66">
        <f>H66+I66</f>
        <v>0</v>
      </c>
      <c r="N66">
        <f>SI(M66&gt;0,H66/M66,"")</f>
        <v>0</v>
      </c>
      <c r="O66">
        <f>VALOR(ESPACIOS(EXTRAE(L66;HALLAR(":";L66)+1;HALLAR(",";L66)-HALLAR(":";L66)-1)))+VALOR(ESPACIOS(EXTRAE(L66;HALLAR("conditionals:";L66)+13;LARGO(L66)))))</f>
        <v>0</v>
      </c>
    </row>
    <row r="67" spans="1:15">
      <c r="A67">
        <v>1</v>
      </c>
      <c r="B67" t="s">
        <v>106</v>
      </c>
      <c r="C67">
        <v>0</v>
      </c>
      <c r="D67">
        <v>0.5</v>
      </c>
      <c r="E67">
        <v>30</v>
      </c>
      <c r="F67" t="s">
        <v>113</v>
      </c>
      <c r="G67" t="s">
        <v>17</v>
      </c>
      <c r="H67">
        <v>5</v>
      </c>
      <c r="I67">
        <v>0</v>
      </c>
      <c r="J67">
        <v>0.11</v>
      </c>
      <c r="K67">
        <v>2.03</v>
      </c>
      <c r="L67" t="s">
        <v>18</v>
      </c>
      <c r="M67">
        <f>H67+I67</f>
        <v>0</v>
      </c>
      <c r="N67">
        <f>SI(M67&gt;0,H67/M67,"")</f>
        <v>0</v>
      </c>
      <c r="O67">
        <f>VALOR(ESPACIOS(EXTRAE(L67;HALLAR(":";L67)+1;HALLAR(",";L67)-HALLAR(":";L67)-1)))+VALOR(ESPACIOS(EXTRAE(L67;HALLAR("conditionals:";L67)+13;LARGO(L67)))))</f>
        <v>0</v>
      </c>
    </row>
    <row r="68" spans="1:15">
      <c r="A68">
        <v>2</v>
      </c>
      <c r="B68" t="s">
        <v>106</v>
      </c>
      <c r="C68">
        <v>0</v>
      </c>
      <c r="D68">
        <v>0.5</v>
      </c>
      <c r="E68">
        <v>30</v>
      </c>
      <c r="F68" t="s">
        <v>108</v>
      </c>
      <c r="G68" t="s">
        <v>105</v>
      </c>
      <c r="H68">
        <v>7</v>
      </c>
      <c r="I68">
        <v>0</v>
      </c>
      <c r="J68">
        <v>0.11</v>
      </c>
      <c r="K68">
        <v>2.02</v>
      </c>
      <c r="L68" t="s">
        <v>45</v>
      </c>
      <c r="M68">
        <f>H68+I68</f>
        <v>0</v>
      </c>
      <c r="N68">
        <f>SI(M68&gt;0,H68/M68,"")</f>
        <v>0</v>
      </c>
      <c r="O68">
        <f>VALOR(ESPACIOS(EXTRAE(L68;HALLAR(":";L68)+1;HALLAR(",";L68)-HALLAR(":";L68)-1)))+VALOR(ESPACIOS(EXTRAE(L68;HALLAR("conditionals:";L68)+13;LARGO(L68)))))</f>
        <v>0</v>
      </c>
    </row>
    <row r="69" spans="1:15">
      <c r="A69">
        <v>3</v>
      </c>
      <c r="B69" t="s">
        <v>106</v>
      </c>
      <c r="C69">
        <v>0</v>
      </c>
      <c r="D69">
        <v>0.5</v>
      </c>
      <c r="E69">
        <v>30</v>
      </c>
      <c r="F69" t="s">
        <v>114</v>
      </c>
      <c r="G69" t="s">
        <v>105</v>
      </c>
      <c r="H69">
        <v>7</v>
      </c>
      <c r="I69">
        <v>0</v>
      </c>
      <c r="J69">
        <v>0.11</v>
      </c>
      <c r="K69">
        <v>2.01</v>
      </c>
      <c r="L69" t="s">
        <v>48</v>
      </c>
      <c r="M69">
        <f>H69+I69</f>
        <v>0</v>
      </c>
      <c r="N69">
        <f>SI(M69&gt;0,H69/M69,"")</f>
        <v>0</v>
      </c>
      <c r="O69">
        <f>VALOR(ESPACIOS(EXTRAE(L69;HALLAR(":";L69)+1;HALLAR(",";L69)-HALLAR(":";L69)-1)))+VALOR(ESPACIOS(EXTRAE(L69;HALLAR("conditionals:";L69)+13;LARGO(L69)))))</f>
        <v>0</v>
      </c>
    </row>
    <row r="70" spans="1:15">
      <c r="A70">
        <v>4</v>
      </c>
      <c r="B70" t="s">
        <v>106</v>
      </c>
      <c r="C70">
        <v>0</v>
      </c>
      <c r="D70">
        <v>0.5</v>
      </c>
      <c r="E70">
        <v>30</v>
      </c>
      <c r="F70" t="s">
        <v>115</v>
      </c>
      <c r="G70" t="s">
        <v>116</v>
      </c>
      <c r="H70">
        <v>10</v>
      </c>
      <c r="I70">
        <v>0</v>
      </c>
      <c r="J70">
        <v>0.11</v>
      </c>
      <c r="K70">
        <v>2.03</v>
      </c>
      <c r="L70" t="s">
        <v>27</v>
      </c>
      <c r="M70">
        <f>H70+I70</f>
        <v>0</v>
      </c>
      <c r="N70">
        <f>SI(M70&gt;0,H70/M70,"")</f>
        <v>0</v>
      </c>
      <c r="O70">
        <f>VALOR(ESPACIOS(EXTRAE(L70;HALLAR(":";L70)+1;HALLAR(",";L70)-HALLAR(":";L70)-1)))+VALOR(ESPACIOS(EXTRAE(L70;HALLAR("conditionals:";L70)+13;LARGO(L70)))))</f>
        <v>0</v>
      </c>
    </row>
    <row r="71" spans="1:15">
      <c r="A71">
        <v>5</v>
      </c>
      <c r="B71" t="s">
        <v>106</v>
      </c>
      <c r="C71">
        <v>0</v>
      </c>
      <c r="D71">
        <v>0.5</v>
      </c>
      <c r="E71">
        <v>30</v>
      </c>
      <c r="F71" t="s">
        <v>117</v>
      </c>
      <c r="G71" t="s">
        <v>29</v>
      </c>
      <c r="H71">
        <v>6</v>
      </c>
      <c r="I71">
        <v>0</v>
      </c>
      <c r="J71">
        <v>0.11</v>
      </c>
      <c r="K71">
        <v>2.05</v>
      </c>
      <c r="L71" t="s">
        <v>39</v>
      </c>
      <c r="M71">
        <f>H71+I71</f>
        <v>0</v>
      </c>
      <c r="N71">
        <f>SI(M71&gt;0,H71/M71,"")</f>
        <v>0</v>
      </c>
      <c r="O71">
        <f>VALOR(ESPACIOS(EXTRAE(L71;HALLAR(":";L71)+1;HALLAR(",";L71)-HALLAR(":";L71)-1)))+VALOR(ESPACIOS(EXTRAE(L71;HALLAR("conditionals:";L71)+13;LARGO(L71)))))</f>
        <v>0</v>
      </c>
    </row>
    <row r="72" spans="1:15">
      <c r="A72">
        <v>1</v>
      </c>
      <c r="B72" t="s">
        <v>106</v>
      </c>
      <c r="C72">
        <v>0</v>
      </c>
      <c r="D72">
        <v>0.95</v>
      </c>
      <c r="E72">
        <v>100</v>
      </c>
      <c r="F72" t="s">
        <v>113</v>
      </c>
      <c r="G72" t="s">
        <v>17</v>
      </c>
      <c r="H72">
        <v>5</v>
      </c>
      <c r="I72">
        <v>0</v>
      </c>
      <c r="J72">
        <v>0.11</v>
      </c>
      <c r="K72">
        <v>2.01</v>
      </c>
      <c r="L72" t="s">
        <v>18</v>
      </c>
      <c r="M72">
        <f>H72+I72</f>
        <v>0</v>
      </c>
      <c r="N72">
        <f>SI(M72&gt;0,H72/M72,"")</f>
        <v>0</v>
      </c>
      <c r="O72">
        <f>VALOR(ESPACIOS(EXTRAE(L72;HALLAR(":";L72)+1;HALLAR(",";L72)-HALLAR(":";L72)-1)))+VALOR(ESPACIOS(EXTRAE(L72;HALLAR("conditionals:";L72)+13;LARGO(L72)))))</f>
        <v>0</v>
      </c>
    </row>
    <row r="73" spans="1:15">
      <c r="A73">
        <v>2</v>
      </c>
      <c r="B73" t="s">
        <v>106</v>
      </c>
      <c r="C73">
        <v>0</v>
      </c>
      <c r="D73">
        <v>0.95</v>
      </c>
      <c r="E73">
        <v>100</v>
      </c>
      <c r="F73" t="s">
        <v>108</v>
      </c>
      <c r="G73" t="s">
        <v>105</v>
      </c>
      <c r="H73">
        <v>7</v>
      </c>
      <c r="I73">
        <v>0</v>
      </c>
      <c r="J73">
        <v>0.11</v>
      </c>
      <c r="K73">
        <v>2.02</v>
      </c>
      <c r="L73" t="s">
        <v>45</v>
      </c>
      <c r="M73">
        <f>H73+I73</f>
        <v>0</v>
      </c>
      <c r="N73">
        <f>SI(M73&gt;0,H73/M73,"")</f>
        <v>0</v>
      </c>
      <c r="O73">
        <f>VALOR(ESPACIOS(EXTRAE(L73;HALLAR(":";L73)+1;HALLAR(",";L73)-HALLAR(":";L73)-1)))+VALOR(ESPACIOS(EXTRAE(L73;HALLAR("conditionals:";L73)+13;LARGO(L73)))))</f>
        <v>0</v>
      </c>
    </row>
    <row r="74" spans="1:15">
      <c r="A74">
        <v>3</v>
      </c>
      <c r="B74" t="s">
        <v>106</v>
      </c>
      <c r="C74">
        <v>0</v>
      </c>
      <c r="D74">
        <v>0.95</v>
      </c>
      <c r="E74">
        <v>100</v>
      </c>
      <c r="F74" t="s">
        <v>114</v>
      </c>
      <c r="G74" t="s">
        <v>105</v>
      </c>
      <c r="H74">
        <v>7</v>
      </c>
      <c r="I74">
        <v>0</v>
      </c>
      <c r="J74">
        <v>0.11</v>
      </c>
      <c r="K74">
        <v>2.01</v>
      </c>
      <c r="L74" t="s">
        <v>48</v>
      </c>
      <c r="M74">
        <f>H74+I74</f>
        <v>0</v>
      </c>
      <c r="N74">
        <f>SI(M74&gt;0,H74/M74,"")</f>
        <v>0</v>
      </c>
      <c r="O74">
        <f>VALOR(ESPACIOS(EXTRAE(L74;HALLAR(":";L74)+1;HALLAR(",";L74)-HALLAR(":";L74)-1)))+VALOR(ESPACIOS(EXTRAE(L74;HALLAR("conditionals:";L74)+13;LARGO(L74)))))</f>
        <v>0</v>
      </c>
    </row>
    <row r="75" spans="1:15">
      <c r="A75">
        <v>4</v>
      </c>
      <c r="B75" t="s">
        <v>106</v>
      </c>
      <c r="C75">
        <v>0</v>
      </c>
      <c r="D75">
        <v>0.95</v>
      </c>
      <c r="E75">
        <v>100</v>
      </c>
      <c r="F75" t="s">
        <v>118</v>
      </c>
      <c r="G75" t="s">
        <v>119</v>
      </c>
      <c r="H75">
        <v>9</v>
      </c>
      <c r="I75">
        <v>1</v>
      </c>
      <c r="J75">
        <v>0.11</v>
      </c>
      <c r="K75">
        <v>2.01</v>
      </c>
      <c r="L75" t="s">
        <v>27</v>
      </c>
      <c r="M75">
        <f>H75+I75</f>
        <v>0</v>
      </c>
      <c r="N75">
        <f>SI(M75&gt;0,H75/M75,"")</f>
        <v>0</v>
      </c>
      <c r="O75">
        <f>VALOR(ESPACIOS(EXTRAE(L75;HALLAR(":";L75)+1;HALLAR(",";L75)-HALLAR(":";L75)-1)))+VALOR(ESPACIOS(EXTRAE(L75;HALLAR("conditionals:";L75)+13;LARGO(L75)))))</f>
        <v>0</v>
      </c>
    </row>
    <row r="76" spans="1:15">
      <c r="A76">
        <v>5</v>
      </c>
      <c r="B76" t="s">
        <v>106</v>
      </c>
      <c r="C76">
        <v>0</v>
      </c>
      <c r="D76">
        <v>0.95</v>
      </c>
      <c r="E76">
        <v>100</v>
      </c>
      <c r="F76" t="s">
        <v>120</v>
      </c>
      <c r="G76" t="s">
        <v>17</v>
      </c>
      <c r="H76">
        <v>5</v>
      </c>
      <c r="I76">
        <v>0</v>
      </c>
      <c r="J76">
        <v>0.11</v>
      </c>
      <c r="K76">
        <v>2.01</v>
      </c>
      <c r="L76" t="s">
        <v>39</v>
      </c>
      <c r="M76">
        <f>H76+I76</f>
        <v>0</v>
      </c>
      <c r="N76">
        <f>SI(M76&gt;0,H76/M76,"")</f>
        <v>0</v>
      </c>
      <c r="O76">
        <f>VALOR(ESPACIOS(EXTRAE(L76;HALLAR(":";L76)+1;HALLAR(",";L76)-HALLAR(":";L76)-1)))+VALOR(ESPACIOS(EXTRAE(L76;HALLAR("conditionals:";L76)+13;LARGO(L76)))))</f>
        <v>0</v>
      </c>
    </row>
    <row r="77" spans="1:15">
      <c r="A77">
        <v>1</v>
      </c>
      <c r="B77" t="s">
        <v>106</v>
      </c>
      <c r="C77">
        <v>0.5</v>
      </c>
      <c r="D77">
        <v>0.1</v>
      </c>
      <c r="E77">
        <v>10</v>
      </c>
      <c r="F77" t="s">
        <v>107</v>
      </c>
      <c r="G77" t="s">
        <v>17</v>
      </c>
      <c r="H77">
        <v>5</v>
      </c>
      <c r="I77">
        <v>0</v>
      </c>
      <c r="J77">
        <v>0.11</v>
      </c>
      <c r="K77">
        <v>2.03</v>
      </c>
      <c r="L77" t="s">
        <v>18</v>
      </c>
      <c r="M77">
        <f>H77+I77</f>
        <v>0</v>
      </c>
      <c r="N77">
        <f>SI(M77&gt;0,H77/M77,"")</f>
        <v>0</v>
      </c>
      <c r="O77">
        <f>VALOR(ESPACIOS(EXTRAE(L77;HALLAR(":";L77)+1;HALLAR(",";L77)-HALLAR(":";L77)-1)))+VALOR(ESPACIOS(EXTRAE(L77;HALLAR("conditionals:";L77)+13;LARGO(L77)))))</f>
        <v>0</v>
      </c>
    </row>
    <row r="78" spans="1:15">
      <c r="A78">
        <v>2</v>
      </c>
      <c r="B78" t="s">
        <v>106</v>
      </c>
      <c r="C78">
        <v>0.5</v>
      </c>
      <c r="D78">
        <v>0.1</v>
      </c>
      <c r="E78">
        <v>10</v>
      </c>
      <c r="F78" t="s">
        <v>108</v>
      </c>
      <c r="G78" t="s">
        <v>105</v>
      </c>
      <c r="H78">
        <v>7</v>
      </c>
      <c r="I78">
        <v>0</v>
      </c>
      <c r="J78">
        <v>0.11</v>
      </c>
      <c r="K78">
        <v>2.06</v>
      </c>
      <c r="L78" t="s">
        <v>45</v>
      </c>
      <c r="M78">
        <f>H78+I78</f>
        <v>0</v>
      </c>
      <c r="N78">
        <f>SI(M78&gt;0,H78/M78,"")</f>
        <v>0</v>
      </c>
      <c r="O78">
        <f>VALOR(ESPACIOS(EXTRAE(L78;HALLAR(":";L78)+1;HALLAR(",";L78)-HALLAR(":";L78)-1)))+VALOR(ESPACIOS(EXTRAE(L78;HALLAR("conditionals:";L78)+13;LARGO(L78)))))</f>
        <v>0</v>
      </c>
    </row>
    <row r="79" spans="1:15">
      <c r="A79">
        <v>3</v>
      </c>
      <c r="B79" t="s">
        <v>106</v>
      </c>
      <c r="C79">
        <v>0.5</v>
      </c>
      <c r="D79">
        <v>0.1</v>
      </c>
      <c r="E79">
        <v>10</v>
      </c>
      <c r="F79" t="s">
        <v>109</v>
      </c>
      <c r="G79" t="s">
        <v>105</v>
      </c>
      <c r="H79">
        <v>7</v>
      </c>
      <c r="I79">
        <v>0</v>
      </c>
      <c r="J79">
        <v>0.12</v>
      </c>
      <c r="K79">
        <v>2.02</v>
      </c>
      <c r="L79" t="s">
        <v>48</v>
      </c>
      <c r="M79">
        <f>H79+I79</f>
        <v>0</v>
      </c>
      <c r="N79">
        <f>SI(M79&gt;0,H79/M79,"")</f>
        <v>0</v>
      </c>
      <c r="O79">
        <f>VALOR(ESPACIOS(EXTRAE(L79;HALLAR(":";L79)+1;HALLAR(",";L79)-HALLAR(":";L79)-1)))+VALOR(ESPACIOS(EXTRAE(L79;HALLAR("conditionals:";L79)+13;LARGO(L79)))))</f>
        <v>0</v>
      </c>
    </row>
    <row r="80" spans="1:15">
      <c r="A80">
        <v>4</v>
      </c>
      <c r="B80" t="s">
        <v>106</v>
      </c>
      <c r="C80">
        <v>0.5</v>
      </c>
      <c r="D80">
        <v>0.1</v>
      </c>
      <c r="E80">
        <v>10</v>
      </c>
      <c r="F80" t="s">
        <v>110</v>
      </c>
      <c r="G80" t="s">
        <v>111</v>
      </c>
      <c r="H80">
        <v>8</v>
      </c>
      <c r="I80">
        <v>1</v>
      </c>
      <c r="J80">
        <v>0.15</v>
      </c>
      <c r="K80">
        <v>2.01</v>
      </c>
      <c r="L80" t="s">
        <v>27</v>
      </c>
      <c r="M80">
        <f>H80+I80</f>
        <v>0</v>
      </c>
      <c r="N80">
        <f>SI(M80&gt;0,H80/M80,"")</f>
        <v>0</v>
      </c>
      <c r="O80">
        <f>VALOR(ESPACIOS(EXTRAE(L80;HALLAR(":";L80)+1;HALLAR(",";L80)-HALLAR(":";L80)-1)))+VALOR(ESPACIOS(EXTRAE(L80;HALLAR("conditionals:";L80)+13;LARGO(L80)))))</f>
        <v>0</v>
      </c>
    </row>
    <row r="81" spans="1:15">
      <c r="A81">
        <v>5</v>
      </c>
      <c r="B81" t="s">
        <v>106</v>
      </c>
      <c r="C81">
        <v>0.5</v>
      </c>
      <c r="D81">
        <v>0.1</v>
      </c>
      <c r="E81">
        <v>10</v>
      </c>
      <c r="F81" t="s">
        <v>112</v>
      </c>
      <c r="G81" t="s">
        <v>17</v>
      </c>
      <c r="H81">
        <v>5</v>
      </c>
      <c r="I81">
        <v>0</v>
      </c>
      <c r="J81">
        <v>0.11</v>
      </c>
      <c r="K81">
        <v>2.01</v>
      </c>
      <c r="L81" t="s">
        <v>39</v>
      </c>
      <c r="M81">
        <f>H81+I81</f>
        <v>0</v>
      </c>
      <c r="N81">
        <f>SI(M81&gt;0,H81/M81,"")</f>
        <v>0</v>
      </c>
      <c r="O81">
        <f>VALOR(ESPACIOS(EXTRAE(L81;HALLAR(":";L81)+1;HALLAR(",";L81)-HALLAR(":";L81)-1)))+VALOR(ESPACIOS(EXTRAE(L81;HALLAR("conditionals:";L81)+13;LARGO(L81)))))</f>
        <v>0</v>
      </c>
    </row>
    <row r="82" spans="1:15">
      <c r="A82">
        <v>1</v>
      </c>
      <c r="B82" t="s">
        <v>106</v>
      </c>
      <c r="C82">
        <v>0.5</v>
      </c>
      <c r="D82">
        <v>0.5</v>
      </c>
      <c r="E82">
        <v>30</v>
      </c>
      <c r="F82" t="s">
        <v>107</v>
      </c>
      <c r="G82" t="s">
        <v>17</v>
      </c>
      <c r="H82">
        <v>5</v>
      </c>
      <c r="I82">
        <v>0</v>
      </c>
      <c r="J82">
        <v>0.11</v>
      </c>
      <c r="K82">
        <v>2.01</v>
      </c>
      <c r="L82" t="s">
        <v>18</v>
      </c>
      <c r="M82">
        <f>H82+I82</f>
        <v>0</v>
      </c>
      <c r="N82">
        <f>SI(M82&gt;0,H82/M82,"")</f>
        <v>0</v>
      </c>
      <c r="O82">
        <f>VALOR(ESPACIOS(EXTRAE(L82;HALLAR(":";L82)+1;HALLAR(",";L82)-HALLAR(":";L82)-1)))+VALOR(ESPACIOS(EXTRAE(L82;HALLAR("conditionals:";L82)+13;LARGO(L82)))))</f>
        <v>0</v>
      </c>
    </row>
    <row r="83" spans="1:15">
      <c r="A83">
        <v>2</v>
      </c>
      <c r="B83" t="s">
        <v>106</v>
      </c>
      <c r="C83">
        <v>0.5</v>
      </c>
      <c r="D83">
        <v>0.5</v>
      </c>
      <c r="E83">
        <v>30</v>
      </c>
      <c r="F83" t="s">
        <v>108</v>
      </c>
      <c r="G83" t="s">
        <v>105</v>
      </c>
      <c r="H83">
        <v>7</v>
      </c>
      <c r="I83">
        <v>0</v>
      </c>
      <c r="J83">
        <v>0.11</v>
      </c>
      <c r="K83">
        <v>2.01</v>
      </c>
      <c r="L83" t="s">
        <v>45</v>
      </c>
      <c r="M83">
        <f>H83+I83</f>
        <v>0</v>
      </c>
      <c r="N83">
        <f>SI(M83&gt;0,H83/M83,"")</f>
        <v>0</v>
      </c>
      <c r="O83">
        <f>VALOR(ESPACIOS(EXTRAE(L83;HALLAR(":";L83)+1;HALLAR(",";L83)-HALLAR(":";L83)-1)))+VALOR(ESPACIOS(EXTRAE(L83;HALLAR("conditionals:";L83)+13;LARGO(L83)))))</f>
        <v>0</v>
      </c>
    </row>
    <row r="84" spans="1:15">
      <c r="A84">
        <v>3</v>
      </c>
      <c r="B84" t="s">
        <v>106</v>
      </c>
      <c r="C84">
        <v>0.5</v>
      </c>
      <c r="D84">
        <v>0.5</v>
      </c>
      <c r="E84">
        <v>30</v>
      </c>
      <c r="F84" t="s">
        <v>109</v>
      </c>
      <c r="G84" t="s">
        <v>105</v>
      </c>
      <c r="H84">
        <v>7</v>
      </c>
      <c r="I84">
        <v>0</v>
      </c>
      <c r="J84">
        <v>0.11</v>
      </c>
      <c r="K84">
        <v>2.01</v>
      </c>
      <c r="L84" t="s">
        <v>48</v>
      </c>
      <c r="M84">
        <f>H84+I84</f>
        <v>0</v>
      </c>
      <c r="N84">
        <f>SI(M84&gt;0,H84/M84,"")</f>
        <v>0</v>
      </c>
      <c r="O84">
        <f>VALOR(ESPACIOS(EXTRAE(L84;HALLAR(":";L84)+1;HALLAR(",";L84)-HALLAR(":";L84)-1)))+VALOR(ESPACIOS(EXTRAE(L84;HALLAR("conditionals:";L84)+13;LARGO(L84)))))</f>
        <v>0</v>
      </c>
    </row>
    <row r="85" spans="1:15">
      <c r="A85">
        <v>4</v>
      </c>
      <c r="B85" t="s">
        <v>106</v>
      </c>
      <c r="C85">
        <v>0.5</v>
      </c>
      <c r="D85">
        <v>0.5</v>
      </c>
      <c r="E85">
        <v>30</v>
      </c>
      <c r="F85" t="s">
        <v>110</v>
      </c>
      <c r="G85" t="s">
        <v>111</v>
      </c>
      <c r="H85">
        <v>8</v>
      </c>
      <c r="I85">
        <v>1</v>
      </c>
      <c r="J85">
        <v>0.11</v>
      </c>
      <c r="K85">
        <v>2.04</v>
      </c>
      <c r="L85" t="s">
        <v>27</v>
      </c>
      <c r="M85">
        <f>H85+I85</f>
        <v>0</v>
      </c>
      <c r="N85">
        <f>SI(M85&gt;0,H85/M85,"")</f>
        <v>0</v>
      </c>
      <c r="O85">
        <f>VALOR(ESPACIOS(EXTRAE(L85;HALLAR(":";L85)+1;HALLAR(",";L85)-HALLAR(":";L85)-1)))+VALOR(ESPACIOS(EXTRAE(L85;HALLAR("conditionals:";L85)+13;LARGO(L85)))))</f>
        <v>0</v>
      </c>
    </row>
    <row r="86" spans="1:15">
      <c r="A86">
        <v>5</v>
      </c>
      <c r="B86" t="s">
        <v>106</v>
      </c>
      <c r="C86">
        <v>0.5</v>
      </c>
      <c r="D86">
        <v>0.5</v>
      </c>
      <c r="E86">
        <v>30</v>
      </c>
      <c r="F86" t="s">
        <v>112</v>
      </c>
      <c r="G86" t="s">
        <v>17</v>
      </c>
      <c r="H86">
        <v>5</v>
      </c>
      <c r="I86">
        <v>0</v>
      </c>
      <c r="J86">
        <v>0.11</v>
      </c>
      <c r="K86">
        <v>2.02</v>
      </c>
      <c r="L86" t="s">
        <v>39</v>
      </c>
      <c r="M86">
        <f>H86+I86</f>
        <v>0</v>
      </c>
      <c r="N86">
        <f>SI(M86&gt;0,H86/M86,"")</f>
        <v>0</v>
      </c>
      <c r="O86">
        <f>VALOR(ESPACIOS(EXTRAE(L86;HALLAR(":";L86)+1;HALLAR(",";L86)-HALLAR(":";L86)-1)))+VALOR(ESPACIOS(EXTRAE(L86;HALLAR("conditionals:";L86)+13;LARGO(L86)))))</f>
        <v>0</v>
      </c>
    </row>
    <row r="87" spans="1:15">
      <c r="A87">
        <v>1</v>
      </c>
      <c r="B87" t="s">
        <v>106</v>
      </c>
      <c r="C87">
        <v>0.5</v>
      </c>
      <c r="D87">
        <v>0.95</v>
      </c>
      <c r="E87">
        <v>100</v>
      </c>
      <c r="F87" t="s">
        <v>121</v>
      </c>
      <c r="G87" t="s">
        <v>122</v>
      </c>
      <c r="H87">
        <v>3</v>
      </c>
      <c r="I87">
        <v>0</v>
      </c>
      <c r="J87">
        <v>0.11</v>
      </c>
      <c r="K87">
        <v>2.02</v>
      </c>
      <c r="L87" t="s">
        <v>18</v>
      </c>
      <c r="M87">
        <f>H87+I87</f>
        <v>0</v>
      </c>
      <c r="N87">
        <f>SI(M87&gt;0,H87/M87,"")</f>
        <v>0</v>
      </c>
      <c r="O87">
        <f>VALOR(ESPACIOS(EXTRAE(L87;HALLAR(":";L87)+1;HALLAR(",";L87)-HALLAR(":";L87)-1)))+VALOR(ESPACIOS(EXTRAE(L87;HALLAR("conditionals:";L87)+13;LARGO(L87)))))</f>
        <v>0</v>
      </c>
    </row>
    <row r="88" spans="1:15">
      <c r="A88">
        <v>2</v>
      </c>
      <c r="B88" t="s">
        <v>106</v>
      </c>
      <c r="C88">
        <v>0.5</v>
      </c>
      <c r="D88">
        <v>0.95</v>
      </c>
      <c r="E88">
        <v>100</v>
      </c>
      <c r="F88" t="s">
        <v>123</v>
      </c>
      <c r="G88" t="s">
        <v>105</v>
      </c>
      <c r="H88">
        <v>7</v>
      </c>
      <c r="I88">
        <v>0</v>
      </c>
      <c r="J88">
        <v>0.11</v>
      </c>
      <c r="K88">
        <v>2.01</v>
      </c>
      <c r="L88" t="s">
        <v>45</v>
      </c>
      <c r="M88">
        <f>H88+I88</f>
        <v>0</v>
      </c>
      <c r="N88">
        <f>SI(M88&gt;0,H88/M88,"")</f>
        <v>0</v>
      </c>
      <c r="O88">
        <f>VALOR(ESPACIOS(EXTRAE(L88;HALLAR(":";L88)+1;HALLAR(",";L88)-HALLAR(":";L88)-1)))+VALOR(ESPACIOS(EXTRAE(L88;HALLAR("conditionals:";L88)+13;LARGO(L88)))))</f>
        <v>0</v>
      </c>
    </row>
    <row r="89" spans="1:15">
      <c r="A89">
        <v>3</v>
      </c>
      <c r="B89" t="s">
        <v>106</v>
      </c>
      <c r="C89">
        <v>0.5</v>
      </c>
      <c r="D89">
        <v>0.95</v>
      </c>
      <c r="E89">
        <v>100</v>
      </c>
      <c r="F89" t="s">
        <v>124</v>
      </c>
      <c r="G89" t="s">
        <v>29</v>
      </c>
      <c r="H89">
        <v>6</v>
      </c>
      <c r="I89">
        <v>0</v>
      </c>
      <c r="J89">
        <v>0.11</v>
      </c>
      <c r="K89">
        <v>2.04</v>
      </c>
      <c r="L89" t="s">
        <v>48</v>
      </c>
      <c r="M89">
        <f>H89+I89</f>
        <v>0</v>
      </c>
      <c r="N89">
        <f>SI(M89&gt;0,H89/M89,"")</f>
        <v>0</v>
      </c>
      <c r="O89">
        <f>VALOR(ESPACIOS(EXTRAE(L89;HALLAR(":";L89)+1;HALLAR(",";L89)-HALLAR(":";L89)-1)))+VALOR(ESPACIOS(EXTRAE(L89;HALLAR("conditionals:";L89)+13;LARGO(L89)))))</f>
        <v>0</v>
      </c>
    </row>
    <row r="90" spans="1:15">
      <c r="A90">
        <v>4</v>
      </c>
      <c r="B90" t="s">
        <v>106</v>
      </c>
      <c r="C90">
        <v>0.5</v>
      </c>
      <c r="D90">
        <v>0.95</v>
      </c>
      <c r="E90">
        <v>100</v>
      </c>
      <c r="F90" t="s">
        <v>125</v>
      </c>
      <c r="G90" t="s">
        <v>111</v>
      </c>
      <c r="H90">
        <v>8</v>
      </c>
      <c r="I90">
        <v>1</v>
      </c>
      <c r="J90">
        <v>0.11</v>
      </c>
      <c r="K90">
        <v>2.03</v>
      </c>
      <c r="L90" t="s">
        <v>27</v>
      </c>
      <c r="M90">
        <f>H90+I90</f>
        <v>0</v>
      </c>
      <c r="N90">
        <f>SI(M90&gt;0,H90/M90,"")</f>
        <v>0</v>
      </c>
      <c r="O90">
        <f>VALOR(ESPACIOS(EXTRAE(L90;HALLAR(":";L90)+1;HALLAR(",";L90)-HALLAR(":";L90)-1)))+VALOR(ESPACIOS(EXTRAE(L90;HALLAR("conditionals:";L90)+13;LARGO(L90)))))</f>
        <v>0</v>
      </c>
    </row>
    <row r="91" spans="1:15">
      <c r="A91">
        <v>5</v>
      </c>
      <c r="B91" t="s">
        <v>106</v>
      </c>
      <c r="C91">
        <v>0.5</v>
      </c>
      <c r="D91">
        <v>0.95</v>
      </c>
      <c r="E91">
        <v>100</v>
      </c>
      <c r="F91" t="s">
        <v>126</v>
      </c>
      <c r="G91" t="s">
        <v>98</v>
      </c>
      <c r="H91">
        <v>4</v>
      </c>
      <c r="I91">
        <v>0</v>
      </c>
      <c r="J91">
        <v>0.11</v>
      </c>
      <c r="K91">
        <v>2.02</v>
      </c>
      <c r="L91" t="s">
        <v>127</v>
      </c>
      <c r="M91">
        <f>H91+I91</f>
        <v>0</v>
      </c>
      <c r="N91">
        <f>SI(M91&gt;0,H91/M91,"")</f>
        <v>0</v>
      </c>
      <c r="O91">
        <f>VALOR(ESPACIOS(EXTRAE(L91;HALLAR(":";L91)+1;HALLAR(",";L91)-HALLAR(":";L91)-1)))+VALOR(ESPACIOS(EXTRAE(L91;HALLAR("conditionals:";L91)+13;LARGO(L91)))))</f>
        <v>0</v>
      </c>
    </row>
    <row r="92" spans="1:15">
      <c r="A92">
        <v>1</v>
      </c>
      <c r="B92" t="s">
        <v>106</v>
      </c>
      <c r="C92">
        <v>1</v>
      </c>
      <c r="D92">
        <v>0.1</v>
      </c>
      <c r="E92">
        <v>10</v>
      </c>
      <c r="F92" t="s">
        <v>113</v>
      </c>
      <c r="G92" t="s">
        <v>17</v>
      </c>
      <c r="H92">
        <v>5</v>
      </c>
      <c r="I92">
        <v>0</v>
      </c>
      <c r="J92">
        <v>0.11</v>
      </c>
      <c r="K92">
        <v>2.04</v>
      </c>
      <c r="L92" t="s">
        <v>18</v>
      </c>
      <c r="M92">
        <f>H92+I92</f>
        <v>0</v>
      </c>
      <c r="N92">
        <f>SI(M92&gt;0,H92/M92,"")</f>
        <v>0</v>
      </c>
      <c r="O92">
        <f>VALOR(ESPACIOS(EXTRAE(L92;HALLAR(":";L92)+1;HALLAR(",";L92)-HALLAR(":";L92)-1)))+VALOR(ESPACIOS(EXTRAE(L92;HALLAR("conditionals:";L92)+13;LARGO(L92)))))</f>
        <v>0</v>
      </c>
    </row>
    <row r="93" spans="1:15">
      <c r="A93">
        <v>2</v>
      </c>
      <c r="B93" t="s">
        <v>106</v>
      </c>
      <c r="C93">
        <v>1</v>
      </c>
      <c r="D93">
        <v>0.1</v>
      </c>
      <c r="E93">
        <v>10</v>
      </c>
      <c r="F93" t="s">
        <v>108</v>
      </c>
      <c r="G93" t="s">
        <v>105</v>
      </c>
      <c r="H93">
        <v>7</v>
      </c>
      <c r="I93">
        <v>0</v>
      </c>
      <c r="J93">
        <v>0.11</v>
      </c>
      <c r="K93">
        <v>2.02</v>
      </c>
      <c r="L93" t="s">
        <v>45</v>
      </c>
      <c r="M93">
        <f>H93+I93</f>
        <v>0</v>
      </c>
      <c r="N93">
        <f>SI(M93&gt;0,H93/M93,"")</f>
        <v>0</v>
      </c>
      <c r="O93">
        <f>VALOR(ESPACIOS(EXTRAE(L93;HALLAR(":";L93)+1;HALLAR(",";L93)-HALLAR(":";L93)-1)))+VALOR(ESPACIOS(EXTRAE(L93;HALLAR("conditionals:";L93)+13;LARGO(L93)))))</f>
        <v>0</v>
      </c>
    </row>
    <row r="94" spans="1:15">
      <c r="A94">
        <v>3</v>
      </c>
      <c r="B94" t="s">
        <v>106</v>
      </c>
      <c r="C94">
        <v>1</v>
      </c>
      <c r="D94">
        <v>0.1</v>
      </c>
      <c r="E94">
        <v>10</v>
      </c>
      <c r="F94" t="s">
        <v>128</v>
      </c>
      <c r="G94" t="s">
        <v>105</v>
      </c>
      <c r="H94">
        <v>7</v>
      </c>
      <c r="I94">
        <v>0</v>
      </c>
      <c r="J94">
        <v>0.11</v>
      </c>
      <c r="K94">
        <v>2.01</v>
      </c>
      <c r="L94" t="s">
        <v>48</v>
      </c>
      <c r="M94">
        <f>H94+I94</f>
        <v>0</v>
      </c>
      <c r="N94">
        <f>SI(M94&gt;0,H94/M94,"")</f>
        <v>0</v>
      </c>
      <c r="O94">
        <f>VALOR(ESPACIOS(EXTRAE(L94;HALLAR(":";L94)+1;HALLAR(",";L94)-HALLAR(":";L94)-1)))+VALOR(ESPACIOS(EXTRAE(L94;HALLAR("conditionals:";L94)+13;LARGO(L94)))))</f>
        <v>0</v>
      </c>
    </row>
    <row r="95" spans="1:15">
      <c r="A95">
        <v>4</v>
      </c>
      <c r="B95" t="s">
        <v>106</v>
      </c>
      <c r="C95">
        <v>1</v>
      </c>
      <c r="D95">
        <v>0.1</v>
      </c>
      <c r="E95">
        <v>10</v>
      </c>
      <c r="F95" t="s">
        <v>129</v>
      </c>
      <c r="G95" t="s">
        <v>67</v>
      </c>
      <c r="H95">
        <v>9</v>
      </c>
      <c r="I95">
        <v>0</v>
      </c>
      <c r="J95">
        <v>0.11</v>
      </c>
      <c r="K95">
        <v>2.04</v>
      </c>
      <c r="L95" t="s">
        <v>27</v>
      </c>
      <c r="M95">
        <f>H95+I95</f>
        <v>0</v>
      </c>
      <c r="N95">
        <f>SI(M95&gt;0,H95/M95,"")</f>
        <v>0</v>
      </c>
      <c r="O95">
        <f>VALOR(ESPACIOS(EXTRAE(L95;HALLAR(":";L95)+1;HALLAR(",";L95)-HALLAR(":";L95)-1)))+VALOR(ESPACIOS(EXTRAE(L95;HALLAR("conditionals:";L95)+13;LARGO(L95)))))</f>
        <v>0</v>
      </c>
    </row>
    <row r="96" spans="1:15">
      <c r="A96">
        <v>5</v>
      </c>
      <c r="B96" t="s">
        <v>106</v>
      </c>
      <c r="C96">
        <v>1</v>
      </c>
      <c r="D96">
        <v>0.1</v>
      </c>
      <c r="E96">
        <v>10</v>
      </c>
      <c r="F96" t="s">
        <v>130</v>
      </c>
      <c r="G96" t="s">
        <v>17</v>
      </c>
      <c r="H96">
        <v>5</v>
      </c>
      <c r="I96">
        <v>0</v>
      </c>
      <c r="J96">
        <v>0.11</v>
      </c>
      <c r="K96">
        <v>2.01</v>
      </c>
      <c r="L96" t="s">
        <v>39</v>
      </c>
      <c r="M96">
        <f>H96+I96</f>
        <v>0</v>
      </c>
      <c r="N96">
        <f>SI(M96&gt;0,H96/M96,"")</f>
        <v>0</v>
      </c>
      <c r="O96">
        <f>VALOR(ESPACIOS(EXTRAE(L96;HALLAR(":";L96)+1;HALLAR(",";L96)-HALLAR(":";L96)-1)))+VALOR(ESPACIOS(EXTRAE(L96;HALLAR("conditionals:";L96)+13;LARGO(L96)))))</f>
        <v>0</v>
      </c>
    </row>
    <row r="97" spans="1:15">
      <c r="A97">
        <v>1</v>
      </c>
      <c r="B97" t="s">
        <v>106</v>
      </c>
      <c r="C97">
        <v>1</v>
      </c>
      <c r="D97">
        <v>0.5</v>
      </c>
      <c r="E97">
        <v>30</v>
      </c>
      <c r="F97" t="s">
        <v>113</v>
      </c>
      <c r="G97" t="s">
        <v>17</v>
      </c>
      <c r="H97">
        <v>5</v>
      </c>
      <c r="I97">
        <v>0</v>
      </c>
      <c r="J97">
        <v>0.11</v>
      </c>
      <c r="K97">
        <v>2.01</v>
      </c>
      <c r="L97" t="s">
        <v>18</v>
      </c>
      <c r="M97">
        <f>H97+I97</f>
        <v>0</v>
      </c>
      <c r="N97">
        <f>SI(M97&gt;0,H97/M97,"")</f>
        <v>0</v>
      </c>
      <c r="O97">
        <f>VALOR(ESPACIOS(EXTRAE(L97;HALLAR(":";L97)+1;HALLAR(",";L97)-HALLAR(":";L97)-1)))+VALOR(ESPACIOS(EXTRAE(L97;HALLAR("conditionals:";L97)+13;LARGO(L97)))))</f>
        <v>0</v>
      </c>
    </row>
    <row r="98" spans="1:15">
      <c r="A98">
        <v>2</v>
      </c>
      <c r="B98" t="s">
        <v>106</v>
      </c>
      <c r="C98">
        <v>1</v>
      </c>
      <c r="D98">
        <v>0.5</v>
      </c>
      <c r="E98">
        <v>30</v>
      </c>
      <c r="F98" t="s">
        <v>108</v>
      </c>
      <c r="G98" t="s">
        <v>105</v>
      </c>
      <c r="H98">
        <v>7</v>
      </c>
      <c r="I98">
        <v>0</v>
      </c>
      <c r="J98">
        <v>0.11</v>
      </c>
      <c r="K98">
        <v>2.02</v>
      </c>
      <c r="L98" t="s">
        <v>45</v>
      </c>
      <c r="M98">
        <f>H98+I98</f>
        <v>0</v>
      </c>
      <c r="N98">
        <f>SI(M98&gt;0,H98/M98,"")</f>
        <v>0</v>
      </c>
      <c r="O98">
        <f>VALOR(ESPACIOS(EXTRAE(L98;HALLAR(":";L98)+1;HALLAR(",";L98)-HALLAR(":";L98)-1)))+VALOR(ESPACIOS(EXTRAE(L98;HALLAR("conditionals:";L98)+13;LARGO(L98)))))</f>
        <v>0</v>
      </c>
    </row>
    <row r="99" spans="1:15">
      <c r="A99">
        <v>3</v>
      </c>
      <c r="B99" t="s">
        <v>106</v>
      </c>
      <c r="C99">
        <v>1</v>
      </c>
      <c r="D99">
        <v>0.5</v>
      </c>
      <c r="E99">
        <v>30</v>
      </c>
      <c r="F99" t="s">
        <v>131</v>
      </c>
      <c r="G99" t="s">
        <v>105</v>
      </c>
      <c r="H99">
        <v>7</v>
      </c>
      <c r="I99">
        <v>0</v>
      </c>
      <c r="J99">
        <v>0.11</v>
      </c>
      <c r="K99">
        <v>2.01</v>
      </c>
      <c r="L99" t="s">
        <v>48</v>
      </c>
      <c r="M99">
        <f>H99+I99</f>
        <v>0</v>
      </c>
      <c r="N99">
        <f>SI(M99&gt;0,H99/M99,"")</f>
        <v>0</v>
      </c>
      <c r="O99">
        <f>VALOR(ESPACIOS(EXTRAE(L99;HALLAR(":";L99)+1;HALLAR(",";L99)-HALLAR(":";L99)-1)))+VALOR(ESPACIOS(EXTRAE(L99;HALLAR("conditionals:";L99)+13;LARGO(L99)))))</f>
        <v>0</v>
      </c>
    </row>
    <row r="100" spans="1:15">
      <c r="A100">
        <v>4</v>
      </c>
      <c r="B100" t="s">
        <v>106</v>
      </c>
      <c r="C100">
        <v>1</v>
      </c>
      <c r="D100">
        <v>0.5</v>
      </c>
      <c r="E100">
        <v>30</v>
      </c>
      <c r="F100" t="s">
        <v>132</v>
      </c>
      <c r="G100" t="s">
        <v>116</v>
      </c>
      <c r="H100">
        <v>10</v>
      </c>
      <c r="I100">
        <v>0</v>
      </c>
      <c r="J100">
        <v>0.11</v>
      </c>
      <c r="K100">
        <v>2.03</v>
      </c>
      <c r="L100" t="s">
        <v>27</v>
      </c>
      <c r="M100">
        <f>H100+I100</f>
        <v>0</v>
      </c>
      <c r="N100">
        <f>SI(M100&gt;0,H100/M100,"")</f>
        <v>0</v>
      </c>
      <c r="O100">
        <f>VALOR(ESPACIOS(EXTRAE(L100;HALLAR(":";L100)+1;HALLAR(",";L100)-HALLAR(":";L100)-1)))+VALOR(ESPACIOS(EXTRAE(L100;HALLAR("conditionals:";L100)+13;LARGO(L100)))))</f>
        <v>0</v>
      </c>
    </row>
    <row r="101" spans="1:15">
      <c r="A101">
        <v>5</v>
      </c>
      <c r="B101" t="s">
        <v>106</v>
      </c>
      <c r="C101">
        <v>1</v>
      </c>
      <c r="D101">
        <v>0.5</v>
      </c>
      <c r="E101">
        <v>30</v>
      </c>
      <c r="F101" t="s">
        <v>133</v>
      </c>
      <c r="G101" t="s">
        <v>29</v>
      </c>
      <c r="H101">
        <v>6</v>
      </c>
      <c r="I101">
        <v>0</v>
      </c>
      <c r="J101">
        <v>0.11</v>
      </c>
      <c r="K101">
        <v>2.05</v>
      </c>
      <c r="L101" t="s">
        <v>30</v>
      </c>
      <c r="M101">
        <f>H101+I101</f>
        <v>0</v>
      </c>
      <c r="N101">
        <f>SI(M101&gt;0,H101/M101,"")</f>
        <v>0</v>
      </c>
      <c r="O101">
        <f>VALOR(ESPACIOS(EXTRAE(L101;HALLAR(":";L101)+1;HALLAR(",";L101)-HALLAR(":";L101)-1)))+VALOR(ESPACIOS(EXTRAE(L101;HALLAR("conditionals:";L101)+13;LARGO(L101)))))</f>
        <v>0</v>
      </c>
    </row>
    <row r="102" spans="1:15">
      <c r="A102">
        <v>1</v>
      </c>
      <c r="B102" t="s">
        <v>106</v>
      </c>
      <c r="C102">
        <v>1</v>
      </c>
      <c r="D102">
        <v>0.95</v>
      </c>
      <c r="E102">
        <v>100</v>
      </c>
      <c r="F102" t="s">
        <v>134</v>
      </c>
      <c r="G102" t="s">
        <v>122</v>
      </c>
      <c r="H102">
        <v>3</v>
      </c>
      <c r="I102">
        <v>0</v>
      </c>
      <c r="J102">
        <v>0.11</v>
      </c>
      <c r="K102">
        <v>2.02</v>
      </c>
      <c r="L102" t="s">
        <v>18</v>
      </c>
      <c r="M102">
        <f>H102+I102</f>
        <v>0</v>
      </c>
      <c r="N102">
        <f>SI(M102&gt;0,H102/M102,"")</f>
        <v>0</v>
      </c>
      <c r="O102">
        <f>VALOR(ESPACIOS(EXTRAE(L102;HALLAR(":";L102)+1;HALLAR(",";L102)-HALLAR(":";L102)-1)))+VALOR(ESPACIOS(EXTRAE(L102;HALLAR("conditionals:";L102)+13;LARGO(L102)))))</f>
        <v>0</v>
      </c>
    </row>
    <row r="103" spans="1:15">
      <c r="A103">
        <v>2</v>
      </c>
      <c r="B103" t="s">
        <v>106</v>
      </c>
      <c r="C103">
        <v>1</v>
      </c>
      <c r="D103">
        <v>0.95</v>
      </c>
      <c r="E103">
        <v>100</v>
      </c>
      <c r="F103" t="s">
        <v>135</v>
      </c>
      <c r="G103" t="s">
        <v>105</v>
      </c>
      <c r="H103">
        <v>7</v>
      </c>
      <c r="I103">
        <v>0</v>
      </c>
      <c r="J103">
        <v>0.11</v>
      </c>
      <c r="K103">
        <v>2.01</v>
      </c>
      <c r="L103" t="s">
        <v>45</v>
      </c>
      <c r="M103">
        <f>H103+I103</f>
        <v>0</v>
      </c>
      <c r="N103">
        <f>SI(M103&gt;0,H103/M103,"")</f>
        <v>0</v>
      </c>
      <c r="O103">
        <f>VALOR(ESPACIOS(EXTRAE(L103;HALLAR(":";L103)+1;HALLAR(",";L103)-HALLAR(":";L103)-1)))+VALOR(ESPACIOS(EXTRAE(L103;HALLAR("conditionals:";L103)+13;LARGO(L103)))))</f>
        <v>0</v>
      </c>
    </row>
    <row r="104" spans="1:15">
      <c r="A104">
        <v>3</v>
      </c>
      <c r="B104" t="s">
        <v>106</v>
      </c>
      <c r="C104">
        <v>1</v>
      </c>
      <c r="D104">
        <v>0.95</v>
      </c>
      <c r="E104">
        <v>100</v>
      </c>
      <c r="F104" t="s">
        <v>136</v>
      </c>
      <c r="G104" t="s">
        <v>29</v>
      </c>
      <c r="H104">
        <v>6</v>
      </c>
      <c r="I104">
        <v>0</v>
      </c>
      <c r="J104">
        <v>0.11</v>
      </c>
      <c r="K104">
        <v>2.02</v>
      </c>
      <c r="L104" t="s">
        <v>48</v>
      </c>
      <c r="M104">
        <f>H104+I104</f>
        <v>0</v>
      </c>
      <c r="N104">
        <f>SI(M104&gt;0,H104/M104,"")</f>
        <v>0</v>
      </c>
      <c r="O104">
        <f>VALOR(ESPACIOS(EXTRAE(L104;HALLAR(":";L104)+1;HALLAR(",";L104)-HALLAR(":";L104)-1)))+VALOR(ESPACIOS(EXTRAE(L104;HALLAR("conditionals:";L104)+13;LARGO(L104)))))</f>
        <v>0</v>
      </c>
    </row>
    <row r="105" spans="1:15">
      <c r="A105">
        <v>4</v>
      </c>
      <c r="B105" t="s">
        <v>106</v>
      </c>
      <c r="C105">
        <v>1</v>
      </c>
      <c r="D105">
        <v>0.95</v>
      </c>
      <c r="E105">
        <v>100</v>
      </c>
      <c r="F105" t="s">
        <v>137</v>
      </c>
      <c r="G105" t="s">
        <v>105</v>
      </c>
      <c r="H105">
        <v>7</v>
      </c>
      <c r="I105">
        <v>0</v>
      </c>
      <c r="J105">
        <v>0.11</v>
      </c>
      <c r="K105">
        <v>2.01</v>
      </c>
      <c r="L105" t="s">
        <v>138</v>
      </c>
      <c r="M105">
        <f>H105+I105</f>
        <v>0</v>
      </c>
      <c r="N105">
        <f>SI(M105&gt;0,H105/M105,"")</f>
        <v>0</v>
      </c>
      <c r="O105">
        <f>VALOR(ESPACIOS(EXTRAE(L105;HALLAR(":";L105)+1;HALLAR(",";L105)-HALLAR(":";L105)-1)))+VALOR(ESPACIOS(EXTRAE(L105;HALLAR("conditionals:";L105)+13;LARGO(L105)))))</f>
        <v>0</v>
      </c>
    </row>
    <row r="106" spans="1:15">
      <c r="A106">
        <v>5</v>
      </c>
      <c r="B106" t="s">
        <v>106</v>
      </c>
      <c r="C106">
        <v>1</v>
      </c>
      <c r="D106">
        <v>0.95</v>
      </c>
      <c r="E106">
        <v>100</v>
      </c>
      <c r="F106" t="s">
        <v>139</v>
      </c>
      <c r="G106" t="s">
        <v>98</v>
      </c>
      <c r="H106">
        <v>4</v>
      </c>
      <c r="I106">
        <v>0</v>
      </c>
      <c r="J106">
        <v>0.11</v>
      </c>
      <c r="K106">
        <v>2.01</v>
      </c>
      <c r="L106" t="s">
        <v>39</v>
      </c>
      <c r="M106">
        <f>H106+I106</f>
        <v>0</v>
      </c>
      <c r="N106">
        <f>SI(M106&gt;0,H106/M106,"")</f>
        <v>0</v>
      </c>
      <c r="O106">
        <f>VALOR(ESPACIOS(EXTRAE(L106;HALLAR(":";L106)+1;HALLAR(",";L106)-HALLAR(":";L106)-1)))+VALOR(ESPACIOS(EXTRAE(L106;HALLAR("conditionals:";L106)+13;LARGO(L106)))))</f>
        <v>0</v>
      </c>
    </row>
    <row r="107" spans="1:15">
      <c r="A107">
        <v>1</v>
      </c>
      <c r="B107" t="s">
        <v>106</v>
      </c>
      <c r="C107">
        <v>2</v>
      </c>
      <c r="D107">
        <v>0.1</v>
      </c>
      <c r="E107">
        <v>10</v>
      </c>
      <c r="F107" t="s">
        <v>113</v>
      </c>
      <c r="G107" t="s">
        <v>17</v>
      </c>
      <c r="H107">
        <v>5</v>
      </c>
      <c r="I107">
        <v>0</v>
      </c>
      <c r="J107">
        <v>0.11</v>
      </c>
      <c r="K107">
        <v>2.02</v>
      </c>
      <c r="L107" t="s">
        <v>18</v>
      </c>
      <c r="M107">
        <f>H107+I107</f>
        <v>0</v>
      </c>
      <c r="N107">
        <f>SI(M107&gt;0,H107/M107,"")</f>
        <v>0</v>
      </c>
      <c r="O107">
        <f>VALOR(ESPACIOS(EXTRAE(L107;HALLAR(":";L107)+1;HALLAR(",";L107)-HALLAR(":";L107)-1)))+VALOR(ESPACIOS(EXTRAE(L107;HALLAR("conditionals:";L107)+13;LARGO(L107)))))</f>
        <v>0</v>
      </c>
    </row>
    <row r="108" spans="1:15">
      <c r="A108">
        <v>2</v>
      </c>
      <c r="B108" t="s">
        <v>106</v>
      </c>
      <c r="C108">
        <v>2</v>
      </c>
      <c r="D108">
        <v>0.1</v>
      </c>
      <c r="E108">
        <v>10</v>
      </c>
      <c r="F108" t="s">
        <v>108</v>
      </c>
      <c r="G108" t="s">
        <v>105</v>
      </c>
      <c r="H108">
        <v>7</v>
      </c>
      <c r="I108">
        <v>0</v>
      </c>
      <c r="J108">
        <v>0.11</v>
      </c>
      <c r="K108">
        <v>2.01</v>
      </c>
      <c r="L108" t="s">
        <v>45</v>
      </c>
      <c r="M108">
        <f>H108+I108</f>
        <v>0</v>
      </c>
      <c r="N108">
        <f>SI(M108&gt;0,H108/M108,"")</f>
        <v>0</v>
      </c>
      <c r="O108">
        <f>VALOR(ESPACIOS(EXTRAE(L108;HALLAR(":";L108)+1;HALLAR(",";L108)-HALLAR(":";L108)-1)))+VALOR(ESPACIOS(EXTRAE(L108;HALLAR("conditionals:";L108)+13;LARGO(L108)))))</f>
        <v>0</v>
      </c>
    </row>
    <row r="109" spans="1:15">
      <c r="A109">
        <v>3</v>
      </c>
      <c r="B109" t="s">
        <v>106</v>
      </c>
      <c r="C109">
        <v>2</v>
      </c>
      <c r="D109">
        <v>0.1</v>
      </c>
      <c r="E109">
        <v>10</v>
      </c>
      <c r="F109" t="s">
        <v>128</v>
      </c>
      <c r="G109" t="s">
        <v>105</v>
      </c>
      <c r="H109">
        <v>7</v>
      </c>
      <c r="I109">
        <v>0</v>
      </c>
      <c r="J109">
        <v>0.11</v>
      </c>
      <c r="K109">
        <v>2.03</v>
      </c>
      <c r="L109" t="s">
        <v>48</v>
      </c>
      <c r="M109">
        <f>H109+I109</f>
        <v>0</v>
      </c>
      <c r="N109">
        <f>SI(M109&gt;0,H109/M109,"")</f>
        <v>0</v>
      </c>
      <c r="O109">
        <f>VALOR(ESPACIOS(EXTRAE(L109;HALLAR(":";L109)+1;HALLAR(",";L109)-HALLAR(":";L109)-1)))+VALOR(ESPACIOS(EXTRAE(L109;HALLAR("conditionals:";L109)+13;LARGO(L109)))))</f>
        <v>0</v>
      </c>
    </row>
    <row r="110" spans="1:15">
      <c r="A110">
        <v>4</v>
      </c>
      <c r="B110" t="s">
        <v>106</v>
      </c>
      <c r="C110">
        <v>2</v>
      </c>
      <c r="D110">
        <v>0.1</v>
      </c>
      <c r="E110">
        <v>10</v>
      </c>
      <c r="F110" t="s">
        <v>140</v>
      </c>
      <c r="G110" t="s">
        <v>141</v>
      </c>
      <c r="H110">
        <v>13</v>
      </c>
      <c r="I110">
        <v>1</v>
      </c>
      <c r="J110">
        <v>0.12</v>
      </c>
      <c r="K110">
        <v>2.01</v>
      </c>
      <c r="L110" t="s">
        <v>27</v>
      </c>
      <c r="M110">
        <f>H110+I110</f>
        <v>0</v>
      </c>
      <c r="N110">
        <f>SI(M110&gt;0,H110/M110,"")</f>
        <v>0</v>
      </c>
      <c r="O110">
        <f>VALOR(ESPACIOS(EXTRAE(L110;HALLAR(":";L110)+1;HALLAR(",";L110)-HALLAR(":";L110)-1)))+VALOR(ESPACIOS(EXTRAE(L110;HALLAR("conditionals:";L110)+13;LARGO(L110)))))</f>
        <v>0</v>
      </c>
    </row>
    <row r="111" spans="1:15">
      <c r="A111">
        <v>5</v>
      </c>
      <c r="B111" t="s">
        <v>106</v>
      </c>
      <c r="C111">
        <v>2</v>
      </c>
      <c r="D111">
        <v>0.1</v>
      </c>
      <c r="E111">
        <v>10</v>
      </c>
      <c r="F111" t="s">
        <v>130</v>
      </c>
      <c r="G111" t="s">
        <v>17</v>
      </c>
      <c r="H111">
        <v>5</v>
      </c>
      <c r="I111">
        <v>0</v>
      </c>
      <c r="J111">
        <v>0.11</v>
      </c>
      <c r="K111">
        <v>2.04</v>
      </c>
      <c r="L111" t="s">
        <v>39</v>
      </c>
      <c r="M111">
        <f>H111+I111</f>
        <v>0</v>
      </c>
      <c r="N111">
        <f>SI(M111&gt;0,H111/M111,"")</f>
        <v>0</v>
      </c>
      <c r="O111">
        <f>VALOR(ESPACIOS(EXTRAE(L111;HALLAR(":";L111)+1;HALLAR(",";L111)-HALLAR(":";L111)-1)))+VALOR(ESPACIOS(EXTRAE(L111;HALLAR("conditionals:";L111)+13;LARGO(L111)))))</f>
        <v>0</v>
      </c>
    </row>
    <row r="112" spans="1:15">
      <c r="A112">
        <v>1</v>
      </c>
      <c r="B112" t="s">
        <v>106</v>
      </c>
      <c r="C112">
        <v>2</v>
      </c>
      <c r="D112">
        <v>0.5</v>
      </c>
      <c r="E112">
        <v>30</v>
      </c>
      <c r="F112" t="s">
        <v>107</v>
      </c>
      <c r="G112" t="s">
        <v>17</v>
      </c>
      <c r="H112">
        <v>5</v>
      </c>
      <c r="I112">
        <v>0</v>
      </c>
      <c r="J112">
        <v>0.11</v>
      </c>
      <c r="K112">
        <v>2.02</v>
      </c>
      <c r="L112" t="s">
        <v>18</v>
      </c>
      <c r="M112">
        <f>H112+I112</f>
        <v>0</v>
      </c>
      <c r="N112">
        <f>SI(M112&gt;0,H112/M112,"")</f>
        <v>0</v>
      </c>
      <c r="O112">
        <f>VALOR(ESPACIOS(EXTRAE(L112;HALLAR(":";L112)+1;HALLAR(",";L112)-HALLAR(":";L112)-1)))+VALOR(ESPACIOS(EXTRAE(L112;HALLAR("conditionals:";L112)+13;LARGO(L112)))))</f>
        <v>0</v>
      </c>
    </row>
    <row r="113" spans="1:15">
      <c r="A113">
        <v>2</v>
      </c>
      <c r="B113" t="s">
        <v>106</v>
      </c>
      <c r="C113">
        <v>2</v>
      </c>
      <c r="D113">
        <v>0.5</v>
      </c>
      <c r="E113">
        <v>30</v>
      </c>
      <c r="F113" t="s">
        <v>108</v>
      </c>
      <c r="G113" t="s">
        <v>105</v>
      </c>
      <c r="H113">
        <v>7</v>
      </c>
      <c r="I113">
        <v>0</v>
      </c>
      <c r="J113">
        <v>0.11</v>
      </c>
      <c r="K113">
        <v>2.01</v>
      </c>
      <c r="L113" t="s">
        <v>45</v>
      </c>
      <c r="M113">
        <f>H113+I113</f>
        <v>0</v>
      </c>
      <c r="N113">
        <f>SI(M113&gt;0,H113/M113,"")</f>
        <v>0</v>
      </c>
      <c r="O113">
        <f>VALOR(ESPACIOS(EXTRAE(L113;HALLAR(":";L113)+1;HALLAR(",";L113)-HALLAR(":";L113)-1)))+VALOR(ESPACIOS(EXTRAE(L113;HALLAR("conditionals:";L113)+13;LARGO(L113)))))</f>
        <v>0</v>
      </c>
    </row>
    <row r="114" spans="1:15">
      <c r="A114">
        <v>3</v>
      </c>
      <c r="B114" t="s">
        <v>106</v>
      </c>
      <c r="C114">
        <v>2</v>
      </c>
      <c r="D114">
        <v>0.5</v>
      </c>
      <c r="E114">
        <v>30</v>
      </c>
      <c r="F114" t="s">
        <v>142</v>
      </c>
      <c r="G114" t="s">
        <v>29</v>
      </c>
      <c r="H114">
        <v>6</v>
      </c>
      <c r="I114">
        <v>0</v>
      </c>
      <c r="J114">
        <v>0.11</v>
      </c>
      <c r="K114">
        <v>2.01</v>
      </c>
      <c r="L114" t="s">
        <v>48</v>
      </c>
      <c r="M114">
        <f>H114+I114</f>
        <v>0</v>
      </c>
      <c r="N114">
        <f>SI(M114&gt;0,H114/M114,"")</f>
        <v>0</v>
      </c>
      <c r="O114">
        <f>VALOR(ESPACIOS(EXTRAE(L114;HALLAR(":";L114)+1;HALLAR(",";L114)-HALLAR(":";L114)-1)))+VALOR(ESPACIOS(EXTRAE(L114;HALLAR("conditionals:";L114)+13;LARGO(L114)))))</f>
        <v>0</v>
      </c>
    </row>
    <row r="115" spans="1:15">
      <c r="A115">
        <v>4</v>
      </c>
      <c r="B115" t="s">
        <v>106</v>
      </c>
      <c r="C115">
        <v>2</v>
      </c>
      <c r="D115">
        <v>0.5</v>
      </c>
      <c r="E115">
        <v>30</v>
      </c>
      <c r="F115" t="s">
        <v>143</v>
      </c>
      <c r="G115" t="s">
        <v>67</v>
      </c>
      <c r="H115">
        <v>9</v>
      </c>
      <c r="I115">
        <v>0</v>
      </c>
      <c r="J115">
        <v>0.11</v>
      </c>
      <c r="K115">
        <v>2.02</v>
      </c>
      <c r="L115" t="s">
        <v>27</v>
      </c>
      <c r="M115">
        <f>H115+I115</f>
        <v>0</v>
      </c>
      <c r="N115">
        <f>SI(M115&gt;0,H115/M115,"")</f>
        <v>0</v>
      </c>
      <c r="O115">
        <f>VALOR(ESPACIOS(EXTRAE(L115;HALLAR(":";L115)+1;HALLAR(",";L115)-HALLAR(":";L115)-1)))+VALOR(ESPACIOS(EXTRAE(L115;HALLAR("conditionals:";L115)+13;LARGO(L115)))))</f>
        <v>0</v>
      </c>
    </row>
    <row r="116" spans="1:15">
      <c r="A116">
        <v>5</v>
      </c>
      <c r="B116" t="s">
        <v>106</v>
      </c>
      <c r="C116">
        <v>2</v>
      </c>
      <c r="D116">
        <v>0.5</v>
      </c>
      <c r="E116">
        <v>30</v>
      </c>
      <c r="F116" t="s">
        <v>144</v>
      </c>
      <c r="G116" t="s">
        <v>98</v>
      </c>
      <c r="H116">
        <v>4</v>
      </c>
      <c r="I116">
        <v>0</v>
      </c>
      <c r="J116">
        <v>0.11</v>
      </c>
      <c r="K116">
        <v>2.02</v>
      </c>
      <c r="L116" t="s">
        <v>39</v>
      </c>
      <c r="M116">
        <f>H116+I116</f>
        <v>0</v>
      </c>
      <c r="N116">
        <f>SI(M116&gt;0,H116/M116,"")</f>
        <v>0</v>
      </c>
      <c r="O116">
        <f>VALOR(ESPACIOS(EXTRAE(L116;HALLAR(":";L116)+1;HALLAR(",";L116)-HALLAR(":";L116)-1)))+VALOR(ESPACIOS(EXTRAE(L116;HALLAR("conditionals:";L116)+13;LARGO(L116)))))</f>
        <v>0</v>
      </c>
    </row>
    <row r="117" spans="1:15">
      <c r="A117">
        <v>1</v>
      </c>
      <c r="B117" t="s">
        <v>106</v>
      </c>
      <c r="C117">
        <v>2</v>
      </c>
      <c r="D117">
        <v>0.95</v>
      </c>
      <c r="E117">
        <v>100</v>
      </c>
      <c r="F117" t="s">
        <v>145</v>
      </c>
      <c r="G117" t="s">
        <v>122</v>
      </c>
      <c r="H117">
        <v>3</v>
      </c>
      <c r="I117">
        <v>0</v>
      </c>
      <c r="J117">
        <v>0.11</v>
      </c>
      <c r="K117">
        <v>2.01</v>
      </c>
      <c r="L117" t="s">
        <v>18</v>
      </c>
      <c r="M117">
        <f>H117+I117</f>
        <v>0</v>
      </c>
      <c r="N117">
        <f>SI(M117&gt;0,H117/M117,"")</f>
        <v>0</v>
      </c>
      <c r="O117">
        <f>VALOR(ESPACIOS(EXTRAE(L117;HALLAR(":";L117)+1;HALLAR(",";L117)-HALLAR(":";L117)-1)))+VALOR(ESPACIOS(EXTRAE(L117;HALLAR("conditionals:";L117)+13;LARGO(L117)))))</f>
        <v>0</v>
      </c>
    </row>
    <row r="118" spans="1:15">
      <c r="A118">
        <v>2</v>
      </c>
      <c r="B118" t="s">
        <v>106</v>
      </c>
      <c r="C118">
        <v>2</v>
      </c>
      <c r="D118">
        <v>0.95</v>
      </c>
      <c r="E118">
        <v>100</v>
      </c>
      <c r="F118" t="s">
        <v>146</v>
      </c>
      <c r="G118" t="s">
        <v>98</v>
      </c>
      <c r="H118">
        <v>4</v>
      </c>
      <c r="I118">
        <v>0</v>
      </c>
      <c r="J118">
        <v>0.11</v>
      </c>
      <c r="K118">
        <v>2.02</v>
      </c>
      <c r="L118" t="s">
        <v>45</v>
      </c>
      <c r="M118">
        <f>H118+I118</f>
        <v>0</v>
      </c>
      <c r="N118">
        <f>SI(M118&gt;0,H118/M118,"")</f>
        <v>0</v>
      </c>
      <c r="O118">
        <f>VALOR(ESPACIOS(EXTRAE(L118;HALLAR(":";L118)+1;HALLAR(",";L118)-HALLAR(":";L118)-1)))+VALOR(ESPACIOS(EXTRAE(L118;HALLAR("conditionals:";L118)+13;LARGO(L118)))))</f>
        <v>0</v>
      </c>
    </row>
    <row r="119" spans="1:15">
      <c r="A119">
        <v>3</v>
      </c>
      <c r="B119" t="s">
        <v>106</v>
      </c>
      <c r="C119">
        <v>2</v>
      </c>
      <c r="D119">
        <v>0.95</v>
      </c>
      <c r="E119">
        <v>100</v>
      </c>
      <c r="F119" t="s">
        <v>147</v>
      </c>
      <c r="G119" t="s">
        <v>17</v>
      </c>
      <c r="H119">
        <v>5</v>
      </c>
      <c r="I119">
        <v>0</v>
      </c>
      <c r="J119">
        <v>0.11</v>
      </c>
      <c r="K119">
        <v>2.03</v>
      </c>
      <c r="L119" t="s">
        <v>48</v>
      </c>
      <c r="M119">
        <f>H119+I119</f>
        <v>0</v>
      </c>
      <c r="N119">
        <f>SI(M119&gt;0,H119/M119,"")</f>
        <v>0</v>
      </c>
      <c r="O119">
        <f>VALOR(ESPACIOS(EXTRAE(L119;HALLAR(":";L119)+1;HALLAR(",";L119)-HALLAR(":";L119)-1)))+VALOR(ESPACIOS(EXTRAE(L119;HALLAR("conditionals:";L119)+13;LARGO(L119)))))</f>
        <v>0</v>
      </c>
    </row>
    <row r="120" spans="1:15">
      <c r="A120">
        <v>4</v>
      </c>
      <c r="B120" t="s">
        <v>106</v>
      </c>
      <c r="C120">
        <v>2</v>
      </c>
      <c r="D120">
        <v>0.95</v>
      </c>
      <c r="E120">
        <v>100</v>
      </c>
      <c r="F120" t="s">
        <v>148</v>
      </c>
      <c r="G120" t="s">
        <v>17</v>
      </c>
      <c r="H120">
        <v>5</v>
      </c>
      <c r="I120">
        <v>0</v>
      </c>
      <c r="J120">
        <v>0.11</v>
      </c>
      <c r="K120">
        <v>2.01</v>
      </c>
      <c r="L120" t="s">
        <v>27</v>
      </c>
      <c r="M120">
        <f>H120+I120</f>
        <v>0</v>
      </c>
      <c r="N120">
        <f>SI(M120&gt;0,H120/M120,"")</f>
        <v>0</v>
      </c>
      <c r="O120">
        <f>VALOR(ESPACIOS(EXTRAE(L120;HALLAR(":";L120)+1;HALLAR(",";L120)-HALLAR(":";L120)-1)))+VALOR(ESPACIOS(EXTRAE(L120;HALLAR("conditionals:";L120)+13;LARGO(L120)))))</f>
        <v>0</v>
      </c>
    </row>
    <row r="121" spans="1:15">
      <c r="A121">
        <v>5</v>
      </c>
      <c r="B121" t="s">
        <v>106</v>
      </c>
      <c r="C121">
        <v>2</v>
      </c>
      <c r="D121">
        <v>0.95</v>
      </c>
      <c r="E121">
        <v>100</v>
      </c>
      <c r="F121" t="s">
        <v>149</v>
      </c>
      <c r="G121" t="s">
        <v>122</v>
      </c>
      <c r="H121">
        <v>3</v>
      </c>
      <c r="I121">
        <v>0</v>
      </c>
      <c r="J121">
        <v>0.11</v>
      </c>
      <c r="K121">
        <v>2.07</v>
      </c>
      <c r="L121" t="s">
        <v>150</v>
      </c>
      <c r="M121">
        <f>H121+I121</f>
        <v>0</v>
      </c>
      <c r="N121">
        <f>SI(M121&gt;0,H121/M121,"")</f>
        <v>0</v>
      </c>
      <c r="O121">
        <f>VALOR(ESPACIOS(EXTRAE(L121;HALLAR(":";L121)+1;HALLAR(",";L121)-HALLAR(":";L121)-1)))+VALOR(ESPACIOS(EXTRAE(L121;HALLAR("conditionals:";L121)+13;LARGO(L121)))))</f>
        <v>0</v>
      </c>
    </row>
    <row r="122" spans="1:15">
      <c r="A122">
        <v>1</v>
      </c>
      <c r="B122" t="s">
        <v>151</v>
      </c>
      <c r="C122">
        <v>0</v>
      </c>
      <c r="D122">
        <v>0.1</v>
      </c>
      <c r="E122">
        <v>10</v>
      </c>
      <c r="F122" t="s">
        <v>152</v>
      </c>
      <c r="G122" t="s">
        <v>98</v>
      </c>
      <c r="H122">
        <v>4</v>
      </c>
      <c r="I122">
        <v>0</v>
      </c>
      <c r="J122">
        <v>0.11</v>
      </c>
      <c r="K122">
        <v>2.01</v>
      </c>
      <c r="L122" t="s">
        <v>42</v>
      </c>
      <c r="M122">
        <f>H122+I122</f>
        <v>0</v>
      </c>
      <c r="N122">
        <f>SI(M122&gt;0,H122/M122,"")</f>
        <v>0</v>
      </c>
      <c r="O122">
        <f>VALOR(ESPACIOS(EXTRAE(L122;HALLAR(":";L122)+1;HALLAR(",";L122)-HALLAR(":";L122)-1)))+VALOR(ESPACIOS(EXTRAE(L122;HALLAR("conditionals:";L122)+13;LARGO(L122)))))</f>
        <v>0</v>
      </c>
    </row>
    <row r="123" spans="1:15">
      <c r="A123">
        <v>2</v>
      </c>
      <c r="B123" t="s">
        <v>151</v>
      </c>
      <c r="C123">
        <v>0</v>
      </c>
      <c r="D123">
        <v>0.1</v>
      </c>
      <c r="E123">
        <v>10</v>
      </c>
      <c r="F123" t="s">
        <v>153</v>
      </c>
      <c r="G123" t="s">
        <v>105</v>
      </c>
      <c r="H123">
        <v>7</v>
      </c>
      <c r="I123">
        <v>0</v>
      </c>
      <c r="J123">
        <v>0.11</v>
      </c>
      <c r="K123">
        <v>2.02</v>
      </c>
      <c r="L123" t="s">
        <v>154</v>
      </c>
      <c r="M123">
        <f>H123+I123</f>
        <v>0</v>
      </c>
      <c r="N123">
        <f>SI(M123&gt;0,H123/M123,"")</f>
        <v>0</v>
      </c>
      <c r="O123">
        <f>VALOR(ESPACIOS(EXTRAE(L123;HALLAR(":";L123)+1;HALLAR(",";L123)-HALLAR(":";L123)-1)))+VALOR(ESPACIOS(EXTRAE(L123;HALLAR("conditionals:";L123)+13;LARGO(L123)))))</f>
        <v>0</v>
      </c>
    </row>
    <row r="124" spans="1:15">
      <c r="A124">
        <v>3</v>
      </c>
      <c r="B124" t="s">
        <v>151</v>
      </c>
      <c r="C124">
        <v>0</v>
      </c>
      <c r="D124">
        <v>0.1</v>
      </c>
      <c r="E124">
        <v>10</v>
      </c>
      <c r="F124" t="s">
        <v>155</v>
      </c>
      <c r="G124" t="s">
        <v>29</v>
      </c>
      <c r="H124">
        <v>6</v>
      </c>
      <c r="I124">
        <v>0</v>
      </c>
      <c r="J124">
        <v>0.11</v>
      </c>
      <c r="K124">
        <v>2.01</v>
      </c>
      <c r="L124" t="s">
        <v>42</v>
      </c>
      <c r="M124">
        <f>H124+I124</f>
        <v>0</v>
      </c>
      <c r="N124">
        <f>SI(M124&gt;0,H124/M124,"")</f>
        <v>0</v>
      </c>
      <c r="O124">
        <f>VALOR(ESPACIOS(EXTRAE(L124;HALLAR(":";L124)+1;HALLAR(",";L124)-HALLAR(":";L124)-1)))+VALOR(ESPACIOS(EXTRAE(L124;HALLAR("conditionals:";L124)+13;LARGO(L124)))))</f>
        <v>0</v>
      </c>
    </row>
    <row r="125" spans="1:15">
      <c r="A125">
        <v>4</v>
      </c>
      <c r="B125" t="s">
        <v>151</v>
      </c>
      <c r="C125">
        <v>0</v>
      </c>
      <c r="D125">
        <v>0.1</v>
      </c>
      <c r="E125">
        <v>10</v>
      </c>
      <c r="F125" t="s">
        <v>156</v>
      </c>
      <c r="G125" t="s">
        <v>116</v>
      </c>
      <c r="H125">
        <v>10</v>
      </c>
      <c r="I125">
        <v>0</v>
      </c>
      <c r="J125">
        <v>0.11</v>
      </c>
      <c r="K125">
        <v>2.03</v>
      </c>
      <c r="L125" t="s">
        <v>60</v>
      </c>
      <c r="M125">
        <f>H125+I125</f>
        <v>0</v>
      </c>
      <c r="N125">
        <f>SI(M125&gt;0,H125/M125,"")</f>
        <v>0</v>
      </c>
      <c r="O125">
        <f>VALOR(ESPACIOS(EXTRAE(L125;HALLAR(":";L125)+1;HALLAR(",";L125)-HALLAR(":";L125)-1)))+VALOR(ESPACIOS(EXTRAE(L125;HALLAR("conditionals:";L125)+13;LARGO(L125)))))</f>
        <v>0</v>
      </c>
    </row>
    <row r="126" spans="1:15">
      <c r="A126">
        <v>5</v>
      </c>
      <c r="B126" t="s">
        <v>151</v>
      </c>
      <c r="C126">
        <v>0</v>
      </c>
      <c r="D126">
        <v>0.1</v>
      </c>
      <c r="E126">
        <v>10</v>
      </c>
      <c r="F126" t="s">
        <v>157</v>
      </c>
      <c r="G126" t="s">
        <v>98</v>
      </c>
      <c r="H126">
        <v>4</v>
      </c>
      <c r="I126">
        <v>0</v>
      </c>
      <c r="J126">
        <v>0.11</v>
      </c>
      <c r="K126">
        <v>2.02</v>
      </c>
      <c r="L126" t="s">
        <v>158</v>
      </c>
      <c r="M126">
        <f>H126+I126</f>
        <v>0</v>
      </c>
      <c r="N126">
        <f>SI(M126&gt;0,H126/M126,"")</f>
        <v>0</v>
      </c>
      <c r="O126">
        <f>VALOR(ESPACIOS(EXTRAE(L126;HALLAR(":";L126)+1;HALLAR(",";L126)-HALLAR(":";L126)-1)))+VALOR(ESPACIOS(EXTRAE(L126;HALLAR("conditionals:";L126)+13;LARGO(L126)))))</f>
        <v>0</v>
      </c>
    </row>
    <row r="127" spans="1:15">
      <c r="A127">
        <v>1</v>
      </c>
      <c r="B127" t="s">
        <v>151</v>
      </c>
      <c r="C127">
        <v>0</v>
      </c>
      <c r="D127">
        <v>0.5</v>
      </c>
      <c r="E127">
        <v>30</v>
      </c>
      <c r="F127" t="s">
        <v>159</v>
      </c>
      <c r="G127" t="s">
        <v>98</v>
      </c>
      <c r="H127">
        <v>4</v>
      </c>
      <c r="I127">
        <v>0</v>
      </c>
      <c r="J127">
        <v>0.11</v>
      </c>
      <c r="K127">
        <v>2.02</v>
      </c>
      <c r="L127" t="s">
        <v>42</v>
      </c>
      <c r="M127">
        <f>H127+I127</f>
        <v>0</v>
      </c>
      <c r="N127">
        <f>SI(M127&gt;0,H127/M127,"")</f>
        <v>0</v>
      </c>
      <c r="O127">
        <f>VALOR(ESPACIOS(EXTRAE(L127;HALLAR(":";L127)+1;HALLAR(",";L127)-HALLAR(":";L127)-1)))+VALOR(ESPACIOS(EXTRAE(L127;HALLAR("conditionals:";L127)+13;LARGO(L127)))))</f>
        <v>0</v>
      </c>
    </row>
    <row r="128" spans="1:15">
      <c r="A128">
        <v>2</v>
      </c>
      <c r="B128" t="s">
        <v>151</v>
      </c>
      <c r="C128">
        <v>0</v>
      </c>
      <c r="D128">
        <v>0.5</v>
      </c>
      <c r="E128">
        <v>30</v>
      </c>
      <c r="F128" t="s">
        <v>160</v>
      </c>
      <c r="G128" t="s">
        <v>105</v>
      </c>
      <c r="H128">
        <v>7</v>
      </c>
      <c r="I128">
        <v>0</v>
      </c>
      <c r="J128">
        <v>0.11</v>
      </c>
      <c r="K128">
        <v>2.03</v>
      </c>
      <c r="L128" t="s">
        <v>154</v>
      </c>
      <c r="M128">
        <f>H128+I128</f>
        <v>0</v>
      </c>
      <c r="N128">
        <f>SI(M128&gt;0,H128/M128,"")</f>
        <v>0</v>
      </c>
      <c r="O128">
        <f>VALOR(ESPACIOS(EXTRAE(L128;HALLAR(":";L128)+1;HALLAR(",";L128)-HALLAR(":";L128)-1)))+VALOR(ESPACIOS(EXTRAE(L128;HALLAR("conditionals:";L128)+13;LARGO(L128)))))</f>
        <v>0</v>
      </c>
    </row>
    <row r="129" spans="1:15">
      <c r="A129">
        <v>3</v>
      </c>
      <c r="B129" t="s">
        <v>151</v>
      </c>
      <c r="C129">
        <v>0</v>
      </c>
      <c r="D129">
        <v>0.5</v>
      </c>
      <c r="E129">
        <v>30</v>
      </c>
      <c r="F129" t="s">
        <v>161</v>
      </c>
      <c r="G129" t="s">
        <v>105</v>
      </c>
      <c r="H129">
        <v>7</v>
      </c>
      <c r="I129">
        <v>0</v>
      </c>
      <c r="J129">
        <v>0.11</v>
      </c>
      <c r="K129">
        <v>2.02</v>
      </c>
      <c r="L129" t="s">
        <v>101</v>
      </c>
      <c r="M129">
        <f>H129+I129</f>
        <v>0</v>
      </c>
      <c r="N129">
        <f>SI(M129&gt;0,H129/M129,"")</f>
        <v>0</v>
      </c>
      <c r="O129">
        <f>VALOR(ESPACIOS(EXTRAE(L129;HALLAR(":";L129)+1;HALLAR(",";L129)-HALLAR(":";L129)-1)))+VALOR(ESPACIOS(EXTRAE(L129;HALLAR("conditionals:";L129)+13;LARGO(L129)))))</f>
        <v>0</v>
      </c>
    </row>
    <row r="130" spans="1:15">
      <c r="A130">
        <v>4</v>
      </c>
      <c r="B130" t="s">
        <v>151</v>
      </c>
      <c r="C130">
        <v>0</v>
      </c>
      <c r="D130">
        <v>0.5</v>
      </c>
      <c r="E130">
        <v>30</v>
      </c>
      <c r="F130" t="s">
        <v>162</v>
      </c>
      <c r="G130" t="s">
        <v>116</v>
      </c>
      <c r="H130">
        <v>10</v>
      </c>
      <c r="I130">
        <v>0</v>
      </c>
      <c r="J130">
        <v>0.11</v>
      </c>
      <c r="K130">
        <v>2.02</v>
      </c>
      <c r="L130" t="s">
        <v>60</v>
      </c>
      <c r="M130">
        <f>H130+I130</f>
        <v>0</v>
      </c>
      <c r="N130">
        <f>SI(M130&gt;0,H130/M130,"")</f>
        <v>0</v>
      </c>
      <c r="O130">
        <f>VALOR(ESPACIOS(EXTRAE(L130;HALLAR(":";L130)+1;HALLAR(",";L130)-HALLAR(":";L130)-1)))+VALOR(ESPACIOS(EXTRAE(L130;HALLAR("conditionals:";L130)+13;LARGO(L130)))))</f>
        <v>0</v>
      </c>
    </row>
    <row r="131" spans="1:15">
      <c r="A131">
        <v>5</v>
      </c>
      <c r="B131" t="s">
        <v>151</v>
      </c>
      <c r="C131">
        <v>0</v>
      </c>
      <c r="D131">
        <v>0.5</v>
      </c>
      <c r="E131">
        <v>30</v>
      </c>
      <c r="F131" t="s">
        <v>163</v>
      </c>
      <c r="G131" t="s">
        <v>98</v>
      </c>
      <c r="H131">
        <v>4</v>
      </c>
      <c r="I131">
        <v>0</v>
      </c>
      <c r="J131">
        <v>0.11</v>
      </c>
      <c r="K131">
        <v>2.04</v>
      </c>
      <c r="L131" t="s">
        <v>158</v>
      </c>
      <c r="M131">
        <f>H131+I131</f>
        <v>0</v>
      </c>
      <c r="N131">
        <f>SI(M131&gt;0,H131/M131,"")</f>
        <v>0</v>
      </c>
      <c r="O131">
        <f>VALOR(ESPACIOS(EXTRAE(L131;HALLAR(":";L131)+1;HALLAR(",";L131)-HALLAR(":";L131)-1)))+VALOR(ESPACIOS(EXTRAE(L131;HALLAR("conditionals:";L131)+13;LARGO(L131)))))</f>
        <v>0</v>
      </c>
    </row>
    <row r="132" spans="1:15">
      <c r="A132">
        <v>1</v>
      </c>
      <c r="B132" t="s">
        <v>151</v>
      </c>
      <c r="C132">
        <v>0</v>
      </c>
      <c r="D132">
        <v>0.95</v>
      </c>
      <c r="E132">
        <v>100</v>
      </c>
      <c r="F132" t="s">
        <v>164</v>
      </c>
      <c r="G132" t="s">
        <v>98</v>
      </c>
      <c r="H132">
        <v>4</v>
      </c>
      <c r="I132">
        <v>0</v>
      </c>
      <c r="J132">
        <v>0.11</v>
      </c>
      <c r="K132">
        <v>2.01</v>
      </c>
      <c r="L132" t="s">
        <v>42</v>
      </c>
      <c r="M132">
        <f>H132+I132</f>
        <v>0</v>
      </c>
      <c r="N132">
        <f>SI(M132&gt;0,H132/M132,"")</f>
        <v>0</v>
      </c>
      <c r="O132">
        <f>VALOR(ESPACIOS(EXTRAE(L132;HALLAR(":";L132)+1;HALLAR(",";L132)-HALLAR(":";L132)-1)))+VALOR(ESPACIOS(EXTRAE(L132;HALLAR("conditionals:";L132)+13;LARGO(L132)))))</f>
        <v>0</v>
      </c>
    </row>
    <row r="133" spans="1:15">
      <c r="A133">
        <v>2</v>
      </c>
      <c r="B133" t="s">
        <v>151</v>
      </c>
      <c r="C133">
        <v>0</v>
      </c>
      <c r="D133">
        <v>0.95</v>
      </c>
      <c r="E133">
        <v>100</v>
      </c>
      <c r="F133" t="s">
        <v>165</v>
      </c>
      <c r="G133" t="s">
        <v>105</v>
      </c>
      <c r="H133">
        <v>7</v>
      </c>
      <c r="I133">
        <v>0</v>
      </c>
      <c r="J133">
        <v>0.11</v>
      </c>
      <c r="K133">
        <v>2.02</v>
      </c>
      <c r="L133" t="s">
        <v>154</v>
      </c>
      <c r="M133">
        <f>H133+I133</f>
        <v>0</v>
      </c>
      <c r="N133">
        <f>SI(M133&gt;0,H133/M133,"")</f>
        <v>0</v>
      </c>
      <c r="O133">
        <f>VALOR(ESPACIOS(EXTRAE(L133;HALLAR(":";L133)+1;HALLAR(",";L133)-HALLAR(":";L133)-1)))+VALOR(ESPACIOS(EXTRAE(L133;HALLAR("conditionals:";L133)+13;LARGO(L133)))))</f>
        <v>0</v>
      </c>
    </row>
    <row r="134" spans="1:15">
      <c r="A134">
        <v>3</v>
      </c>
      <c r="B134" t="s">
        <v>151</v>
      </c>
      <c r="C134">
        <v>0</v>
      </c>
      <c r="D134">
        <v>0.95</v>
      </c>
      <c r="E134">
        <v>100</v>
      </c>
      <c r="F134" t="s">
        <v>166</v>
      </c>
      <c r="G134" t="s">
        <v>17</v>
      </c>
      <c r="H134">
        <v>5</v>
      </c>
      <c r="I134">
        <v>0</v>
      </c>
      <c r="J134">
        <v>0.11</v>
      </c>
      <c r="K134">
        <v>2.01</v>
      </c>
      <c r="L134" t="s">
        <v>101</v>
      </c>
      <c r="M134">
        <f>H134+I134</f>
        <v>0</v>
      </c>
      <c r="N134">
        <f>SI(M134&gt;0,H134/M134,"")</f>
        <v>0</v>
      </c>
      <c r="O134">
        <f>VALOR(ESPACIOS(EXTRAE(L134;HALLAR(":";L134)+1;HALLAR(",";L134)-HALLAR(":";L134)-1)))+VALOR(ESPACIOS(EXTRAE(L134;HALLAR("conditionals:";L134)+13;LARGO(L134)))))</f>
        <v>0</v>
      </c>
    </row>
    <row r="135" spans="1:15">
      <c r="A135">
        <v>4</v>
      </c>
      <c r="B135" t="s">
        <v>151</v>
      </c>
      <c r="C135">
        <v>0</v>
      </c>
      <c r="D135">
        <v>0.95</v>
      </c>
      <c r="E135">
        <v>100</v>
      </c>
      <c r="F135" t="s">
        <v>167</v>
      </c>
      <c r="G135" t="s">
        <v>67</v>
      </c>
      <c r="H135">
        <v>9</v>
      </c>
      <c r="I135">
        <v>0</v>
      </c>
      <c r="J135">
        <v>0.11</v>
      </c>
      <c r="K135">
        <v>2.05</v>
      </c>
      <c r="L135" t="s">
        <v>60</v>
      </c>
      <c r="M135">
        <f>H135+I135</f>
        <v>0</v>
      </c>
      <c r="N135">
        <f>SI(M135&gt;0,H135/M135,"")</f>
        <v>0</v>
      </c>
      <c r="O135">
        <f>VALOR(ESPACIOS(EXTRAE(L135;HALLAR(":";L135)+1;HALLAR(",";L135)-HALLAR(":";L135)-1)))+VALOR(ESPACIOS(EXTRAE(L135;HALLAR("conditionals:";L135)+13;LARGO(L135)))))</f>
        <v>0</v>
      </c>
    </row>
    <row r="136" spans="1:15">
      <c r="A136">
        <v>5</v>
      </c>
      <c r="B136" t="s">
        <v>151</v>
      </c>
      <c r="C136">
        <v>0</v>
      </c>
      <c r="D136">
        <v>0.95</v>
      </c>
      <c r="E136">
        <v>100</v>
      </c>
      <c r="F136" t="s">
        <v>168</v>
      </c>
      <c r="G136" t="s">
        <v>122</v>
      </c>
      <c r="H136">
        <v>3</v>
      </c>
      <c r="I136">
        <v>0</v>
      </c>
      <c r="J136">
        <v>0.11</v>
      </c>
      <c r="K136">
        <v>2.01</v>
      </c>
      <c r="L136" t="s">
        <v>158</v>
      </c>
      <c r="M136">
        <f>H136+I136</f>
        <v>0</v>
      </c>
      <c r="N136">
        <f>SI(M136&gt;0,H136/M136,"")</f>
        <v>0</v>
      </c>
      <c r="O136">
        <f>VALOR(ESPACIOS(EXTRAE(L136;HALLAR(":";L136)+1;HALLAR(",";L136)-HALLAR(":";L136)-1)))+VALOR(ESPACIOS(EXTRAE(L136;HALLAR("conditionals:";L136)+13;LARGO(L136)))))</f>
        <v>0</v>
      </c>
    </row>
    <row r="137" spans="1:15">
      <c r="A137">
        <v>1</v>
      </c>
      <c r="B137" t="s">
        <v>151</v>
      </c>
      <c r="C137">
        <v>0.5</v>
      </c>
      <c r="D137">
        <v>0.1</v>
      </c>
      <c r="E137">
        <v>10</v>
      </c>
      <c r="F137" t="s">
        <v>169</v>
      </c>
      <c r="G137" t="s">
        <v>98</v>
      </c>
      <c r="H137">
        <v>4</v>
      </c>
      <c r="I137">
        <v>0</v>
      </c>
      <c r="J137">
        <v>0.11</v>
      </c>
      <c r="K137">
        <v>2.01</v>
      </c>
      <c r="L137" t="s">
        <v>42</v>
      </c>
      <c r="M137">
        <f>H137+I137</f>
        <v>0</v>
      </c>
      <c r="N137">
        <f>SI(M137&gt;0,H137/M137,"")</f>
        <v>0</v>
      </c>
      <c r="O137">
        <f>VALOR(ESPACIOS(EXTRAE(L137;HALLAR(":";L137)+1;HALLAR(",";L137)-HALLAR(":";L137)-1)))+VALOR(ESPACIOS(EXTRAE(L137;HALLAR("conditionals:";L137)+13;LARGO(L137)))))</f>
        <v>0</v>
      </c>
    </row>
    <row r="138" spans="1:15">
      <c r="A138">
        <v>2</v>
      </c>
      <c r="B138" t="s">
        <v>151</v>
      </c>
      <c r="C138">
        <v>0.5</v>
      </c>
      <c r="D138">
        <v>0.1</v>
      </c>
      <c r="E138">
        <v>10</v>
      </c>
      <c r="F138" t="s">
        <v>170</v>
      </c>
      <c r="G138" t="s">
        <v>105</v>
      </c>
      <c r="H138">
        <v>7</v>
      </c>
      <c r="I138">
        <v>0</v>
      </c>
      <c r="J138">
        <v>0.11</v>
      </c>
      <c r="K138">
        <v>2.02</v>
      </c>
      <c r="L138" t="s">
        <v>154</v>
      </c>
      <c r="M138">
        <f>H138+I138</f>
        <v>0</v>
      </c>
      <c r="N138">
        <f>SI(M138&gt;0,H138/M138,"")</f>
        <v>0</v>
      </c>
      <c r="O138">
        <f>VALOR(ESPACIOS(EXTRAE(L138;HALLAR(":";L138)+1;HALLAR(",";L138)-HALLAR(":";L138)-1)))+VALOR(ESPACIOS(EXTRAE(L138;HALLAR("conditionals:";L138)+13;LARGO(L138)))))</f>
        <v>0</v>
      </c>
    </row>
    <row r="139" spans="1:15">
      <c r="A139">
        <v>3</v>
      </c>
      <c r="B139" t="s">
        <v>151</v>
      </c>
      <c r="C139">
        <v>0.5</v>
      </c>
      <c r="D139">
        <v>0.1</v>
      </c>
      <c r="E139">
        <v>10</v>
      </c>
      <c r="F139" t="s">
        <v>171</v>
      </c>
      <c r="G139" t="s">
        <v>105</v>
      </c>
      <c r="H139">
        <v>7</v>
      </c>
      <c r="I139">
        <v>0</v>
      </c>
      <c r="J139">
        <v>0.11</v>
      </c>
      <c r="K139">
        <v>2.02</v>
      </c>
      <c r="L139" t="s">
        <v>101</v>
      </c>
      <c r="M139">
        <f>H139+I139</f>
        <v>0</v>
      </c>
      <c r="N139">
        <f>SI(M139&gt;0,H139/M139,"")</f>
        <v>0</v>
      </c>
      <c r="O139">
        <f>VALOR(ESPACIOS(EXTRAE(L139;HALLAR(":";L139)+1;HALLAR(",";L139)-HALLAR(":";L139)-1)))+VALOR(ESPACIOS(EXTRAE(L139;HALLAR("conditionals:";L139)+13;LARGO(L139)))))</f>
        <v>0</v>
      </c>
    </row>
    <row r="140" spans="1:15">
      <c r="A140">
        <v>4</v>
      </c>
      <c r="B140" t="s">
        <v>151</v>
      </c>
      <c r="C140">
        <v>0.5</v>
      </c>
      <c r="D140">
        <v>0.1</v>
      </c>
      <c r="E140">
        <v>10</v>
      </c>
      <c r="F140" t="s">
        <v>172</v>
      </c>
      <c r="G140" t="s">
        <v>116</v>
      </c>
      <c r="H140">
        <v>10</v>
      </c>
      <c r="I140">
        <v>0</v>
      </c>
      <c r="J140">
        <v>0.11</v>
      </c>
      <c r="K140">
        <v>2.01</v>
      </c>
      <c r="L140" t="s">
        <v>60</v>
      </c>
      <c r="M140">
        <f>H140+I140</f>
        <v>0</v>
      </c>
      <c r="N140">
        <f>SI(M140&gt;0,H140/M140,"")</f>
        <v>0</v>
      </c>
      <c r="O140">
        <f>VALOR(ESPACIOS(EXTRAE(L140;HALLAR(":";L140)+1;HALLAR(",";L140)-HALLAR(":";L140)-1)))+VALOR(ESPACIOS(EXTRAE(L140;HALLAR("conditionals:";L140)+13;LARGO(L140)))))</f>
        <v>0</v>
      </c>
    </row>
    <row r="141" spans="1:15">
      <c r="A141">
        <v>5</v>
      </c>
      <c r="B141" t="s">
        <v>151</v>
      </c>
      <c r="C141">
        <v>0.5</v>
      </c>
      <c r="D141">
        <v>0.1</v>
      </c>
      <c r="E141">
        <v>10</v>
      </c>
      <c r="F141" t="s">
        <v>173</v>
      </c>
      <c r="G141" t="s">
        <v>98</v>
      </c>
      <c r="H141">
        <v>4</v>
      </c>
      <c r="I141">
        <v>0</v>
      </c>
      <c r="J141">
        <v>0.11</v>
      </c>
      <c r="K141">
        <v>2.05</v>
      </c>
      <c r="L141" t="s">
        <v>158</v>
      </c>
      <c r="M141">
        <f>H141+I141</f>
        <v>0</v>
      </c>
      <c r="N141">
        <f>SI(M141&gt;0,H141/M141,"")</f>
        <v>0</v>
      </c>
      <c r="O141">
        <f>VALOR(ESPACIOS(EXTRAE(L141;HALLAR(":";L141)+1;HALLAR(",";L141)-HALLAR(":";L141)-1)))+VALOR(ESPACIOS(EXTRAE(L141;HALLAR("conditionals:";L141)+13;LARGO(L141)))))</f>
        <v>0</v>
      </c>
    </row>
    <row r="142" spans="1:15">
      <c r="A142">
        <v>1</v>
      </c>
      <c r="B142" t="s">
        <v>151</v>
      </c>
      <c r="C142">
        <v>0.5</v>
      </c>
      <c r="D142">
        <v>0.5</v>
      </c>
      <c r="E142">
        <v>30</v>
      </c>
      <c r="F142" t="s">
        <v>174</v>
      </c>
      <c r="G142" t="s">
        <v>175</v>
      </c>
      <c r="H142">
        <v>4</v>
      </c>
      <c r="I142">
        <v>0</v>
      </c>
      <c r="J142">
        <v>0.11</v>
      </c>
      <c r="K142">
        <v>2.02</v>
      </c>
      <c r="L142" t="s">
        <v>42</v>
      </c>
      <c r="M142">
        <f>H142+I142</f>
        <v>0</v>
      </c>
      <c r="N142">
        <f>SI(M142&gt;0,H142/M142,"")</f>
        <v>0</v>
      </c>
      <c r="O142">
        <f>VALOR(ESPACIOS(EXTRAE(L142;HALLAR(":";L142)+1;HALLAR(",";L142)-HALLAR(":";L142)-1)))+VALOR(ESPACIOS(EXTRAE(L142;HALLAR("conditionals:";L142)+13;LARGO(L142)))))</f>
        <v>0</v>
      </c>
    </row>
    <row r="143" spans="1:15">
      <c r="A143">
        <v>2</v>
      </c>
      <c r="B143" t="s">
        <v>151</v>
      </c>
      <c r="C143">
        <v>0.5</v>
      </c>
      <c r="D143">
        <v>0.5</v>
      </c>
      <c r="E143">
        <v>30</v>
      </c>
      <c r="F143" t="s">
        <v>176</v>
      </c>
      <c r="G143" t="s">
        <v>177</v>
      </c>
      <c r="H143">
        <v>7</v>
      </c>
      <c r="I143">
        <v>0</v>
      </c>
      <c r="J143">
        <v>0.11</v>
      </c>
      <c r="K143">
        <v>2.05</v>
      </c>
      <c r="L143" t="s">
        <v>154</v>
      </c>
      <c r="M143">
        <f>H143+I143</f>
        <v>0</v>
      </c>
      <c r="N143">
        <f>SI(M143&gt;0,H143/M143,"")</f>
        <v>0</v>
      </c>
      <c r="O143">
        <f>VALOR(ESPACIOS(EXTRAE(L143;HALLAR(":";L143)+1;HALLAR(",";L143)-HALLAR(":";L143)-1)))+VALOR(ESPACIOS(EXTRAE(L143;HALLAR("conditionals:";L143)+13;LARGO(L143)))))</f>
        <v>0</v>
      </c>
    </row>
    <row r="144" spans="1:15">
      <c r="A144">
        <v>3</v>
      </c>
      <c r="B144" t="s">
        <v>151</v>
      </c>
      <c r="C144">
        <v>0.5</v>
      </c>
      <c r="D144">
        <v>0.5</v>
      </c>
      <c r="E144">
        <v>30</v>
      </c>
      <c r="F144" t="s">
        <v>178</v>
      </c>
      <c r="G144" t="s">
        <v>179</v>
      </c>
      <c r="H144">
        <v>5</v>
      </c>
      <c r="I144">
        <v>0</v>
      </c>
      <c r="J144">
        <v>0.11</v>
      </c>
      <c r="K144">
        <v>2.01</v>
      </c>
      <c r="L144" t="s">
        <v>101</v>
      </c>
      <c r="M144">
        <f>H144+I144</f>
        <v>0</v>
      </c>
      <c r="N144">
        <f>SI(M144&gt;0,H144/M144,"")</f>
        <v>0</v>
      </c>
      <c r="O144">
        <f>VALOR(ESPACIOS(EXTRAE(L144;HALLAR(":";L144)+1;HALLAR(",";L144)-HALLAR(":";L144)-1)))+VALOR(ESPACIOS(EXTRAE(L144;HALLAR("conditionals:";L144)+13;LARGO(L144)))))</f>
        <v>0</v>
      </c>
    </row>
    <row r="145" spans="1:15">
      <c r="A145">
        <v>4</v>
      </c>
      <c r="B145" t="s">
        <v>151</v>
      </c>
      <c r="C145">
        <v>0.5</v>
      </c>
      <c r="D145">
        <v>0.5</v>
      </c>
      <c r="E145">
        <v>30</v>
      </c>
      <c r="F145" t="s">
        <v>180</v>
      </c>
      <c r="G145" t="s">
        <v>181</v>
      </c>
      <c r="H145">
        <v>9</v>
      </c>
      <c r="I145">
        <v>0</v>
      </c>
      <c r="J145">
        <v>0.11</v>
      </c>
      <c r="K145">
        <v>2.02</v>
      </c>
      <c r="L145" t="s">
        <v>60</v>
      </c>
      <c r="M145">
        <f>H145+I145</f>
        <v>0</v>
      </c>
      <c r="N145">
        <f>SI(M145&gt;0,H145/M145,"")</f>
        <v>0</v>
      </c>
      <c r="O145">
        <f>VALOR(ESPACIOS(EXTRAE(L145;HALLAR(":";L145)+1;HALLAR(",";L145)-HALLAR(":";L145)-1)))+VALOR(ESPACIOS(EXTRAE(L145;HALLAR("conditionals:";L145)+13;LARGO(L145)))))</f>
        <v>0</v>
      </c>
    </row>
    <row r="146" spans="1:15">
      <c r="A146">
        <v>5</v>
      </c>
      <c r="B146" t="s">
        <v>151</v>
      </c>
      <c r="C146">
        <v>0.5</v>
      </c>
      <c r="D146">
        <v>0.5</v>
      </c>
      <c r="E146">
        <v>30</v>
      </c>
      <c r="F146" t="s">
        <v>182</v>
      </c>
      <c r="G146" t="s">
        <v>183</v>
      </c>
      <c r="H146">
        <v>3</v>
      </c>
      <c r="I146">
        <v>0</v>
      </c>
      <c r="J146">
        <v>0.11</v>
      </c>
      <c r="K146">
        <v>2.01</v>
      </c>
      <c r="L146" t="s">
        <v>158</v>
      </c>
      <c r="M146">
        <f>H146+I146</f>
        <v>0</v>
      </c>
      <c r="N146">
        <f>SI(M146&gt;0,H146/M146,"")</f>
        <v>0</v>
      </c>
      <c r="O146">
        <f>VALOR(ESPACIOS(EXTRAE(L146;HALLAR(":";L146)+1;HALLAR(",";L146)-HALLAR(":";L146)-1)))+VALOR(ESPACIOS(EXTRAE(L146;HALLAR("conditionals:";L146)+13;LARGO(L146)))))</f>
        <v>0</v>
      </c>
    </row>
    <row r="147" spans="1:15">
      <c r="A147">
        <v>1</v>
      </c>
      <c r="B147" t="s">
        <v>151</v>
      </c>
      <c r="C147">
        <v>0.5</v>
      </c>
      <c r="D147">
        <v>0.95</v>
      </c>
      <c r="E147">
        <v>100</v>
      </c>
      <c r="F147" t="s">
        <v>184</v>
      </c>
      <c r="G147" t="s">
        <v>185</v>
      </c>
      <c r="H147">
        <v>4</v>
      </c>
      <c r="I147">
        <v>0</v>
      </c>
      <c r="J147">
        <v>0.11</v>
      </c>
      <c r="K147">
        <v>2.03</v>
      </c>
      <c r="L147" t="s">
        <v>18</v>
      </c>
      <c r="M147">
        <f>H147+I147</f>
        <v>0</v>
      </c>
      <c r="N147">
        <f>SI(M147&gt;0,H147/M147,"")</f>
        <v>0</v>
      </c>
      <c r="O147">
        <f>VALOR(ESPACIOS(EXTRAE(L147;HALLAR(":";L147)+1;HALLAR(",";L147)-HALLAR(":";L147)-1)))+VALOR(ESPACIOS(EXTRAE(L147;HALLAR("conditionals:";L147)+13;LARGO(L147)))))</f>
        <v>0</v>
      </c>
    </row>
    <row r="148" spans="1:15">
      <c r="A148">
        <v>2</v>
      </c>
      <c r="B148" t="s">
        <v>151</v>
      </c>
      <c r="C148">
        <v>0.5</v>
      </c>
      <c r="D148">
        <v>0.95</v>
      </c>
      <c r="E148">
        <v>100</v>
      </c>
      <c r="F148" t="s">
        <v>186</v>
      </c>
      <c r="G148" t="s">
        <v>187</v>
      </c>
      <c r="H148">
        <v>7</v>
      </c>
      <c r="I148">
        <v>0</v>
      </c>
      <c r="J148">
        <v>0.11</v>
      </c>
      <c r="K148">
        <v>2.01</v>
      </c>
      <c r="L148" t="s">
        <v>45</v>
      </c>
      <c r="M148">
        <f>H148+I148</f>
        <v>0</v>
      </c>
      <c r="N148">
        <f>SI(M148&gt;0,H148/M148,"")</f>
        <v>0</v>
      </c>
      <c r="O148">
        <f>VALOR(ESPACIOS(EXTRAE(L148;HALLAR(":";L148)+1;HALLAR(",";L148)-HALLAR(":";L148)-1)))+VALOR(ESPACIOS(EXTRAE(L148;HALLAR("conditionals:";L148)+13;LARGO(L148)))))</f>
        <v>0</v>
      </c>
    </row>
    <row r="149" spans="1:15">
      <c r="A149">
        <v>3</v>
      </c>
      <c r="B149" t="s">
        <v>151</v>
      </c>
      <c r="C149">
        <v>0.5</v>
      </c>
      <c r="D149">
        <v>0.95</v>
      </c>
      <c r="E149">
        <v>100</v>
      </c>
      <c r="F149" t="s">
        <v>188</v>
      </c>
      <c r="G149" t="s">
        <v>189</v>
      </c>
      <c r="H149">
        <v>5</v>
      </c>
      <c r="I149">
        <v>0</v>
      </c>
      <c r="J149">
        <v>0.11</v>
      </c>
      <c r="K149">
        <v>2.02</v>
      </c>
      <c r="L149" t="s">
        <v>48</v>
      </c>
      <c r="M149">
        <f>H149+I149</f>
        <v>0</v>
      </c>
      <c r="N149">
        <f>SI(M149&gt;0,H149/M149,"")</f>
        <v>0</v>
      </c>
      <c r="O149">
        <f>VALOR(ESPACIOS(EXTRAE(L149;HALLAR(":";L149)+1;HALLAR(",";L149)-HALLAR(":";L149)-1)))+VALOR(ESPACIOS(EXTRAE(L149;HALLAR("conditionals:";L149)+13;LARGO(L149)))))</f>
        <v>0</v>
      </c>
    </row>
    <row r="150" spans="1:15">
      <c r="A150">
        <v>4</v>
      </c>
      <c r="B150" t="s">
        <v>151</v>
      </c>
      <c r="C150">
        <v>0.5</v>
      </c>
      <c r="D150">
        <v>0.95</v>
      </c>
      <c r="E150">
        <v>100</v>
      </c>
      <c r="F150" t="s">
        <v>190</v>
      </c>
      <c r="G150" t="s">
        <v>191</v>
      </c>
      <c r="H150">
        <v>8</v>
      </c>
      <c r="I150">
        <v>0</v>
      </c>
      <c r="J150">
        <v>0.11</v>
      </c>
      <c r="K150">
        <v>2.02</v>
      </c>
      <c r="L150" t="s">
        <v>27</v>
      </c>
      <c r="M150">
        <f>H150+I150</f>
        <v>0</v>
      </c>
      <c r="N150">
        <f>SI(M150&gt;0,H150/M150,"")</f>
        <v>0</v>
      </c>
      <c r="O150">
        <f>VALOR(ESPACIOS(EXTRAE(L150;HALLAR(":";L150)+1;HALLAR(",";L150)-HALLAR(":";L150)-1)))+VALOR(ESPACIOS(EXTRAE(L150;HALLAR("conditionals:";L150)+13;LARGO(L150)))))</f>
        <v>0</v>
      </c>
    </row>
    <row r="151" spans="1:15">
      <c r="A151">
        <v>5</v>
      </c>
      <c r="B151" t="s">
        <v>151</v>
      </c>
      <c r="C151">
        <v>0.5</v>
      </c>
      <c r="D151">
        <v>0.95</v>
      </c>
      <c r="E151">
        <v>100</v>
      </c>
      <c r="F151" t="s">
        <v>192</v>
      </c>
      <c r="G151" t="s">
        <v>193</v>
      </c>
      <c r="H151">
        <v>3</v>
      </c>
      <c r="I151">
        <v>0</v>
      </c>
      <c r="J151">
        <v>0.11</v>
      </c>
      <c r="K151">
        <v>2</v>
      </c>
      <c r="L151" t="s">
        <v>30</v>
      </c>
      <c r="M151">
        <f>H151+I151</f>
        <v>0</v>
      </c>
      <c r="N151">
        <f>SI(M151&gt;0,H151/M151,"")</f>
        <v>0</v>
      </c>
      <c r="O151">
        <f>VALOR(ESPACIOS(EXTRAE(L151;HALLAR(":";L151)+1;HALLAR(",";L151)-HALLAR(":";L151)-1)))+VALOR(ESPACIOS(EXTRAE(L151;HALLAR("conditionals:";L151)+13;LARGO(L151)))))</f>
        <v>0</v>
      </c>
    </row>
    <row r="152" spans="1:15">
      <c r="A152">
        <v>1</v>
      </c>
      <c r="B152" t="s">
        <v>151</v>
      </c>
      <c r="C152">
        <v>1</v>
      </c>
      <c r="D152">
        <v>0.1</v>
      </c>
      <c r="E152">
        <v>10</v>
      </c>
      <c r="F152" t="s">
        <v>194</v>
      </c>
      <c r="G152" t="s">
        <v>98</v>
      </c>
      <c r="H152">
        <v>4</v>
      </c>
      <c r="I152">
        <v>0</v>
      </c>
      <c r="J152">
        <v>0.11</v>
      </c>
      <c r="K152">
        <v>2.02</v>
      </c>
      <c r="L152" t="s">
        <v>42</v>
      </c>
      <c r="M152">
        <f>H152+I152</f>
        <v>0</v>
      </c>
      <c r="N152">
        <f>SI(M152&gt;0,H152/M152,"")</f>
        <v>0</v>
      </c>
      <c r="O152">
        <f>VALOR(ESPACIOS(EXTRAE(L152;HALLAR(":";L152)+1;HALLAR(",";L152)-HALLAR(":";L152)-1)))+VALOR(ESPACIOS(EXTRAE(L152;HALLAR("conditionals:";L152)+13;LARGO(L152)))))</f>
        <v>0</v>
      </c>
    </row>
    <row r="153" spans="1:15">
      <c r="A153">
        <v>2</v>
      </c>
      <c r="B153" t="s">
        <v>151</v>
      </c>
      <c r="C153">
        <v>1</v>
      </c>
      <c r="D153">
        <v>0.1</v>
      </c>
      <c r="E153">
        <v>10</v>
      </c>
      <c r="F153" t="s">
        <v>160</v>
      </c>
      <c r="G153" t="s">
        <v>105</v>
      </c>
      <c r="H153">
        <v>7</v>
      </c>
      <c r="I153">
        <v>0</v>
      </c>
      <c r="J153">
        <v>0.11</v>
      </c>
      <c r="K153">
        <v>2.02</v>
      </c>
      <c r="L153" t="s">
        <v>154</v>
      </c>
      <c r="M153">
        <f>H153+I153</f>
        <v>0</v>
      </c>
      <c r="N153">
        <f>SI(M153&gt;0,H153/M153,"")</f>
        <v>0</v>
      </c>
      <c r="O153">
        <f>VALOR(ESPACIOS(EXTRAE(L153;HALLAR(":";L153)+1;HALLAR(",";L153)-HALLAR(":";L153)-1)))+VALOR(ESPACIOS(EXTRAE(L153;HALLAR("conditionals:";L153)+13;LARGO(L153)))))</f>
        <v>0</v>
      </c>
    </row>
    <row r="154" spans="1:15">
      <c r="A154">
        <v>3</v>
      </c>
      <c r="B154" t="s">
        <v>151</v>
      </c>
      <c r="C154">
        <v>1</v>
      </c>
      <c r="D154">
        <v>0.1</v>
      </c>
      <c r="E154">
        <v>10</v>
      </c>
      <c r="F154" t="s">
        <v>195</v>
      </c>
      <c r="G154" t="s">
        <v>105</v>
      </c>
      <c r="H154">
        <v>7</v>
      </c>
      <c r="I154">
        <v>0</v>
      </c>
      <c r="J154">
        <v>0.11</v>
      </c>
      <c r="K154">
        <v>2.02</v>
      </c>
      <c r="L154" t="s">
        <v>101</v>
      </c>
      <c r="M154">
        <f>H154+I154</f>
        <v>0</v>
      </c>
      <c r="N154">
        <f>SI(M154&gt;0,H154/M154,"")</f>
        <v>0</v>
      </c>
      <c r="O154">
        <f>VALOR(ESPACIOS(EXTRAE(L154;HALLAR(":";L154)+1;HALLAR(",";L154)-HALLAR(":";L154)-1)))+VALOR(ESPACIOS(EXTRAE(L154;HALLAR("conditionals:";L154)+13;LARGO(L154)))))</f>
        <v>0</v>
      </c>
    </row>
    <row r="155" spans="1:15">
      <c r="A155">
        <v>4</v>
      </c>
      <c r="B155" t="s">
        <v>151</v>
      </c>
      <c r="C155">
        <v>1</v>
      </c>
      <c r="D155">
        <v>0.1</v>
      </c>
      <c r="E155">
        <v>10</v>
      </c>
      <c r="F155" t="s">
        <v>196</v>
      </c>
      <c r="G155" t="s">
        <v>116</v>
      </c>
      <c r="H155">
        <v>10</v>
      </c>
      <c r="I155">
        <v>0</v>
      </c>
      <c r="J155">
        <v>0.11</v>
      </c>
      <c r="K155">
        <v>2.02</v>
      </c>
      <c r="L155" t="s">
        <v>60</v>
      </c>
      <c r="M155">
        <f>H155+I155</f>
        <v>0</v>
      </c>
      <c r="N155">
        <f>SI(M155&gt;0,H155/M155,"")</f>
        <v>0</v>
      </c>
      <c r="O155">
        <f>VALOR(ESPACIOS(EXTRAE(L155;HALLAR(":";L155)+1;HALLAR(",";L155)-HALLAR(":";L155)-1)))+VALOR(ESPACIOS(EXTRAE(L155;HALLAR("conditionals:";L155)+13;LARGO(L155)))))</f>
        <v>0</v>
      </c>
    </row>
    <row r="156" spans="1:15">
      <c r="A156">
        <v>5</v>
      </c>
      <c r="B156" t="s">
        <v>151</v>
      </c>
      <c r="C156">
        <v>1</v>
      </c>
      <c r="D156">
        <v>0.1</v>
      </c>
      <c r="E156">
        <v>10</v>
      </c>
      <c r="F156" t="s">
        <v>197</v>
      </c>
      <c r="G156" t="s">
        <v>98</v>
      </c>
      <c r="H156">
        <v>4</v>
      </c>
      <c r="I156">
        <v>0</v>
      </c>
      <c r="J156">
        <v>0.11</v>
      </c>
      <c r="K156">
        <v>2.01</v>
      </c>
      <c r="L156" t="s">
        <v>158</v>
      </c>
      <c r="M156">
        <f>H156+I156</f>
        <v>0</v>
      </c>
      <c r="N156">
        <f>SI(M156&gt;0,H156/M156,"")</f>
        <v>0</v>
      </c>
      <c r="O156">
        <f>VALOR(ESPACIOS(EXTRAE(L156;HALLAR(":";L156)+1;HALLAR(",";L156)-HALLAR(":";L156)-1)))+VALOR(ESPACIOS(EXTRAE(L156;HALLAR("conditionals:";L156)+13;LARGO(L156)))))</f>
        <v>0</v>
      </c>
    </row>
    <row r="157" spans="1:15">
      <c r="A157">
        <v>1</v>
      </c>
      <c r="B157" t="s">
        <v>151</v>
      </c>
      <c r="C157">
        <v>1</v>
      </c>
      <c r="D157">
        <v>0.5</v>
      </c>
      <c r="E157">
        <v>30</v>
      </c>
      <c r="F157" t="s">
        <v>198</v>
      </c>
      <c r="G157" t="s">
        <v>98</v>
      </c>
      <c r="H157">
        <v>4</v>
      </c>
      <c r="I157">
        <v>0</v>
      </c>
      <c r="J157">
        <v>0.11</v>
      </c>
      <c r="K157">
        <v>2.03</v>
      </c>
      <c r="L157" t="s">
        <v>18</v>
      </c>
      <c r="M157">
        <f>H157+I157</f>
        <v>0</v>
      </c>
      <c r="N157">
        <f>SI(M157&gt;0,H157/M157,"")</f>
        <v>0</v>
      </c>
      <c r="O157">
        <f>VALOR(ESPACIOS(EXTRAE(L157;HALLAR(":";L157)+1;HALLAR(",";L157)-HALLAR(":";L157)-1)))+VALOR(ESPACIOS(EXTRAE(L157;HALLAR("conditionals:";L157)+13;LARGO(L157)))))</f>
        <v>0</v>
      </c>
    </row>
    <row r="158" spans="1:15">
      <c r="A158">
        <v>2</v>
      </c>
      <c r="B158" t="s">
        <v>151</v>
      </c>
      <c r="C158">
        <v>1</v>
      </c>
      <c r="D158">
        <v>0.5</v>
      </c>
      <c r="E158">
        <v>30</v>
      </c>
      <c r="F158" t="s">
        <v>199</v>
      </c>
      <c r="G158" t="s">
        <v>105</v>
      </c>
      <c r="H158">
        <v>7</v>
      </c>
      <c r="I158">
        <v>0</v>
      </c>
      <c r="J158">
        <v>0.11</v>
      </c>
      <c r="K158">
        <v>2.03</v>
      </c>
      <c r="L158" t="s">
        <v>45</v>
      </c>
      <c r="M158">
        <f>H158+I158</f>
        <v>0</v>
      </c>
      <c r="N158">
        <f>SI(M158&gt;0,H158/M158,"")</f>
        <v>0</v>
      </c>
      <c r="O158">
        <f>VALOR(ESPACIOS(EXTRAE(L158;HALLAR(":";L158)+1;HALLAR(",";L158)-HALLAR(":";L158)-1)))+VALOR(ESPACIOS(EXTRAE(L158;HALLAR("conditionals:";L158)+13;LARGO(L158)))))</f>
        <v>0</v>
      </c>
    </row>
    <row r="159" spans="1:15">
      <c r="A159">
        <v>3</v>
      </c>
      <c r="B159" t="s">
        <v>151</v>
      </c>
      <c r="C159">
        <v>1</v>
      </c>
      <c r="D159">
        <v>0.5</v>
      </c>
      <c r="E159">
        <v>30</v>
      </c>
      <c r="F159" t="s">
        <v>200</v>
      </c>
      <c r="G159" t="s">
        <v>17</v>
      </c>
      <c r="H159">
        <v>5</v>
      </c>
      <c r="I159">
        <v>0</v>
      </c>
      <c r="J159">
        <v>0.11</v>
      </c>
      <c r="K159">
        <v>2.03</v>
      </c>
      <c r="L159" t="s">
        <v>18</v>
      </c>
      <c r="M159">
        <f>H159+I159</f>
        <v>0</v>
      </c>
      <c r="N159">
        <f>SI(M159&gt;0,H159/M159,"")</f>
        <v>0</v>
      </c>
      <c r="O159">
        <f>VALOR(ESPACIOS(EXTRAE(L159;HALLAR(":";L159)+1;HALLAR(",";L159)-HALLAR(":";L159)-1)))+VALOR(ESPACIOS(EXTRAE(L159;HALLAR("conditionals:";L159)+13;LARGO(L159)))))</f>
        <v>0</v>
      </c>
    </row>
    <row r="160" spans="1:15">
      <c r="A160">
        <v>4</v>
      </c>
      <c r="B160" t="s">
        <v>151</v>
      </c>
      <c r="C160">
        <v>1</v>
      </c>
      <c r="D160">
        <v>0.5</v>
      </c>
      <c r="E160">
        <v>30</v>
      </c>
      <c r="F160" t="s">
        <v>201</v>
      </c>
      <c r="G160" t="s">
        <v>67</v>
      </c>
      <c r="H160">
        <v>9</v>
      </c>
      <c r="I160">
        <v>0</v>
      </c>
      <c r="J160">
        <v>0.11</v>
      </c>
      <c r="K160">
        <v>2.01</v>
      </c>
      <c r="L160" t="s">
        <v>27</v>
      </c>
      <c r="M160">
        <f>H160+I160</f>
        <v>0</v>
      </c>
      <c r="N160">
        <f>SI(M160&gt;0,H160/M160,"")</f>
        <v>0</v>
      </c>
      <c r="O160">
        <f>VALOR(ESPACIOS(EXTRAE(L160;HALLAR(":";L160)+1;HALLAR(",";L160)-HALLAR(":";L160)-1)))+VALOR(ESPACIOS(EXTRAE(L160;HALLAR("conditionals:";L160)+13;LARGO(L160)))))</f>
        <v>0</v>
      </c>
    </row>
    <row r="161" spans="1:15">
      <c r="A161">
        <v>5</v>
      </c>
      <c r="B161" t="s">
        <v>151</v>
      </c>
      <c r="C161">
        <v>1</v>
      </c>
      <c r="D161">
        <v>0.5</v>
      </c>
      <c r="E161">
        <v>30</v>
      </c>
      <c r="F161" t="s">
        <v>202</v>
      </c>
      <c r="G161" t="s">
        <v>98</v>
      </c>
      <c r="H161">
        <v>4</v>
      </c>
      <c r="I161">
        <v>0</v>
      </c>
      <c r="J161">
        <v>0.11</v>
      </c>
      <c r="K161">
        <v>2.02</v>
      </c>
      <c r="L161" t="s">
        <v>30</v>
      </c>
      <c r="M161">
        <f>H161+I161</f>
        <v>0</v>
      </c>
      <c r="N161">
        <f>SI(M161&gt;0,H161/M161,"")</f>
        <v>0</v>
      </c>
      <c r="O161">
        <f>VALOR(ESPACIOS(EXTRAE(L161;HALLAR(":";L161)+1;HALLAR(",";L161)-HALLAR(":";L161)-1)))+VALOR(ESPACIOS(EXTRAE(L161;HALLAR("conditionals:";L161)+13;LARGO(L161)))))</f>
        <v>0</v>
      </c>
    </row>
    <row r="162" spans="1:15">
      <c r="A162">
        <v>1</v>
      </c>
      <c r="B162" t="s">
        <v>151</v>
      </c>
      <c r="C162">
        <v>1</v>
      </c>
      <c r="D162">
        <v>0.95</v>
      </c>
      <c r="E162">
        <v>100</v>
      </c>
      <c r="F162" t="s">
        <v>203</v>
      </c>
      <c r="G162" t="s">
        <v>98</v>
      </c>
      <c r="H162">
        <v>4</v>
      </c>
      <c r="I162">
        <v>0</v>
      </c>
      <c r="J162">
        <v>0.11</v>
      </c>
      <c r="K162">
        <v>2.04</v>
      </c>
      <c r="L162" t="s">
        <v>18</v>
      </c>
      <c r="M162">
        <f>H162+I162</f>
        <v>0</v>
      </c>
      <c r="N162">
        <f>SI(M162&gt;0,H162/M162,"")</f>
        <v>0</v>
      </c>
      <c r="O162">
        <f>VALOR(ESPACIOS(EXTRAE(L162;HALLAR(":";L162)+1;HALLAR(",";L162)-HALLAR(":";L162)-1)))+VALOR(ESPACIOS(EXTRAE(L162;HALLAR("conditionals:";L162)+13;LARGO(L162)))))</f>
        <v>0</v>
      </c>
    </row>
    <row r="163" spans="1:15">
      <c r="A163">
        <v>2</v>
      </c>
      <c r="B163" t="s">
        <v>151</v>
      </c>
      <c r="C163">
        <v>1</v>
      </c>
      <c r="D163">
        <v>0.95</v>
      </c>
      <c r="E163">
        <v>100</v>
      </c>
      <c r="F163" t="s">
        <v>204</v>
      </c>
      <c r="G163" t="s">
        <v>105</v>
      </c>
      <c r="H163">
        <v>7</v>
      </c>
      <c r="I163">
        <v>0</v>
      </c>
      <c r="J163">
        <v>0.11</v>
      </c>
      <c r="K163">
        <v>2.04</v>
      </c>
      <c r="L163" t="s">
        <v>45</v>
      </c>
      <c r="M163">
        <f>H163+I163</f>
        <v>0</v>
      </c>
      <c r="N163">
        <f>SI(M163&gt;0,H163/M163,"")</f>
        <v>0</v>
      </c>
      <c r="O163">
        <f>VALOR(ESPACIOS(EXTRAE(L163;HALLAR(":";L163)+1;HALLAR(",";L163)-HALLAR(":";L163)-1)))+VALOR(ESPACIOS(EXTRAE(L163;HALLAR("conditionals:";L163)+13;LARGO(L163)))))</f>
        <v>0</v>
      </c>
    </row>
    <row r="164" spans="1:15">
      <c r="A164">
        <v>3</v>
      </c>
      <c r="B164" t="s">
        <v>151</v>
      </c>
      <c r="C164">
        <v>1</v>
      </c>
      <c r="D164">
        <v>0.95</v>
      </c>
      <c r="E164">
        <v>100</v>
      </c>
      <c r="F164" t="s">
        <v>205</v>
      </c>
      <c r="G164" t="s">
        <v>29</v>
      </c>
      <c r="H164">
        <v>6</v>
      </c>
      <c r="I164">
        <v>0</v>
      </c>
      <c r="J164">
        <v>0.11</v>
      </c>
      <c r="K164">
        <v>2.02</v>
      </c>
      <c r="L164" t="s">
        <v>48</v>
      </c>
      <c r="M164">
        <f>H164+I164</f>
        <v>0</v>
      </c>
      <c r="N164">
        <f>SI(M164&gt;0,H164/M164,"")</f>
        <v>0</v>
      </c>
      <c r="O164">
        <f>VALOR(ESPACIOS(EXTRAE(L164;HALLAR(":";L164)+1;HALLAR(",";L164)-HALLAR(":";L164)-1)))+VALOR(ESPACIOS(EXTRAE(L164;HALLAR("conditionals:";L164)+13;LARGO(L164)))))</f>
        <v>0</v>
      </c>
    </row>
    <row r="165" spans="1:15">
      <c r="A165">
        <v>4</v>
      </c>
      <c r="B165" t="s">
        <v>151</v>
      </c>
      <c r="C165">
        <v>1</v>
      </c>
      <c r="D165">
        <v>0.95</v>
      </c>
      <c r="E165">
        <v>100</v>
      </c>
      <c r="F165" t="s">
        <v>206</v>
      </c>
      <c r="G165" t="s">
        <v>67</v>
      </c>
      <c r="H165">
        <v>9</v>
      </c>
      <c r="I165">
        <v>0</v>
      </c>
      <c r="J165">
        <v>0.12</v>
      </c>
      <c r="K165">
        <v>2.02</v>
      </c>
      <c r="L165" t="s">
        <v>27</v>
      </c>
      <c r="M165">
        <f>H165+I165</f>
        <v>0</v>
      </c>
      <c r="N165">
        <f>SI(M165&gt;0,H165/M165,"")</f>
        <v>0</v>
      </c>
      <c r="O165">
        <f>VALOR(ESPACIOS(EXTRAE(L165;HALLAR(":";L165)+1;HALLAR(",";L165)-HALLAR(":";L165)-1)))+VALOR(ESPACIOS(EXTRAE(L165;HALLAR("conditionals:";L165)+13;LARGO(L165)))))</f>
        <v>0</v>
      </c>
    </row>
    <row r="166" spans="1:15">
      <c r="A166">
        <v>5</v>
      </c>
      <c r="B166" t="s">
        <v>151</v>
      </c>
      <c r="C166">
        <v>1</v>
      </c>
      <c r="D166">
        <v>0.95</v>
      </c>
      <c r="E166">
        <v>100</v>
      </c>
      <c r="F166" t="s">
        <v>207</v>
      </c>
      <c r="G166" t="s">
        <v>98</v>
      </c>
      <c r="H166">
        <v>4</v>
      </c>
      <c r="I166">
        <v>0</v>
      </c>
      <c r="J166">
        <v>0.11</v>
      </c>
      <c r="K166">
        <v>2.04</v>
      </c>
      <c r="L166" t="s">
        <v>208</v>
      </c>
      <c r="M166">
        <f>H166+I166</f>
        <v>0</v>
      </c>
      <c r="N166">
        <f>SI(M166&gt;0,H166/M166,"")</f>
        <v>0</v>
      </c>
      <c r="O166">
        <f>VALOR(ESPACIOS(EXTRAE(L166;HALLAR(":";L166)+1;HALLAR(",";L166)-HALLAR(":";L166)-1)))+VALOR(ESPACIOS(EXTRAE(L166;HALLAR("conditionals:";L166)+13;LARGO(L166)))))</f>
        <v>0</v>
      </c>
    </row>
    <row r="167" spans="1:15">
      <c r="A167">
        <v>1</v>
      </c>
      <c r="B167" t="s">
        <v>151</v>
      </c>
      <c r="C167">
        <v>2</v>
      </c>
      <c r="D167">
        <v>0.1</v>
      </c>
      <c r="E167">
        <v>10</v>
      </c>
      <c r="F167" t="s">
        <v>209</v>
      </c>
      <c r="G167" t="s">
        <v>98</v>
      </c>
      <c r="H167">
        <v>4</v>
      </c>
      <c r="I167">
        <v>0</v>
      </c>
      <c r="J167">
        <v>0.11</v>
      </c>
      <c r="K167">
        <v>2.03</v>
      </c>
      <c r="L167" t="s">
        <v>42</v>
      </c>
      <c r="M167">
        <f>H167+I167</f>
        <v>0</v>
      </c>
      <c r="N167">
        <f>SI(M167&gt;0,H167/M167,"")</f>
        <v>0</v>
      </c>
      <c r="O167">
        <f>VALOR(ESPACIOS(EXTRAE(L167;HALLAR(":";L167)+1;HALLAR(",";L167)-HALLAR(":";L167)-1)))+VALOR(ESPACIOS(EXTRAE(L167;HALLAR("conditionals:";L167)+13;LARGO(L167)))))</f>
        <v>0</v>
      </c>
    </row>
    <row r="168" spans="1:15">
      <c r="A168">
        <v>2</v>
      </c>
      <c r="B168" t="s">
        <v>151</v>
      </c>
      <c r="C168">
        <v>2</v>
      </c>
      <c r="D168">
        <v>0.1</v>
      </c>
      <c r="E168">
        <v>10</v>
      </c>
      <c r="F168" t="s">
        <v>210</v>
      </c>
      <c r="G168" t="s">
        <v>105</v>
      </c>
      <c r="H168">
        <v>7</v>
      </c>
      <c r="I168">
        <v>0</v>
      </c>
      <c r="J168">
        <v>0.11</v>
      </c>
      <c r="K168">
        <v>2.05</v>
      </c>
      <c r="L168" t="s">
        <v>154</v>
      </c>
      <c r="M168">
        <f>H168+I168</f>
        <v>0</v>
      </c>
      <c r="N168">
        <f>SI(M168&gt;0,H168/M168,"")</f>
        <v>0</v>
      </c>
      <c r="O168">
        <f>VALOR(ESPACIOS(EXTRAE(L168;HALLAR(":";L168)+1;HALLAR(",";L168)-HALLAR(":";L168)-1)))+VALOR(ESPACIOS(EXTRAE(L168;HALLAR("conditionals:";L168)+13;LARGO(L168)))))</f>
        <v>0</v>
      </c>
    </row>
    <row r="169" spans="1:15">
      <c r="A169">
        <v>3</v>
      </c>
      <c r="B169" t="s">
        <v>151</v>
      </c>
      <c r="C169">
        <v>2</v>
      </c>
      <c r="D169">
        <v>0.1</v>
      </c>
      <c r="E169">
        <v>10</v>
      </c>
      <c r="F169" t="s">
        <v>211</v>
      </c>
      <c r="G169" t="s">
        <v>105</v>
      </c>
      <c r="H169">
        <v>7</v>
      </c>
      <c r="I169">
        <v>0</v>
      </c>
      <c r="J169">
        <v>0.11</v>
      </c>
      <c r="K169">
        <v>2.02</v>
      </c>
      <c r="L169" t="s">
        <v>101</v>
      </c>
      <c r="M169">
        <f>H169+I169</f>
        <v>0</v>
      </c>
      <c r="N169">
        <f>SI(M169&gt;0,H169/M169,"")</f>
        <v>0</v>
      </c>
      <c r="O169">
        <f>VALOR(ESPACIOS(EXTRAE(L169;HALLAR(":";L169)+1;HALLAR(",";L169)-HALLAR(":";L169)-1)))+VALOR(ESPACIOS(EXTRAE(L169;HALLAR("conditionals:";L169)+13;LARGO(L169)))))</f>
        <v>0</v>
      </c>
    </row>
    <row r="170" spans="1:15">
      <c r="A170">
        <v>4</v>
      </c>
      <c r="B170" t="s">
        <v>151</v>
      </c>
      <c r="C170">
        <v>2</v>
      </c>
      <c r="D170">
        <v>0.1</v>
      </c>
      <c r="E170">
        <v>10</v>
      </c>
      <c r="F170" t="s">
        <v>212</v>
      </c>
      <c r="G170" t="s">
        <v>116</v>
      </c>
      <c r="H170">
        <v>10</v>
      </c>
      <c r="I170">
        <v>0</v>
      </c>
      <c r="J170">
        <v>0.11</v>
      </c>
      <c r="K170">
        <v>2.04</v>
      </c>
      <c r="L170" t="s">
        <v>60</v>
      </c>
      <c r="M170">
        <f>H170+I170</f>
        <v>0</v>
      </c>
      <c r="N170">
        <f>SI(M170&gt;0,H170/M170,"")</f>
        <v>0</v>
      </c>
      <c r="O170">
        <f>VALOR(ESPACIOS(EXTRAE(L170;HALLAR(":";L170)+1;HALLAR(",";L170)-HALLAR(":";L170)-1)))+VALOR(ESPACIOS(EXTRAE(L170;HALLAR("conditionals:";L170)+13;LARGO(L170)))))</f>
        <v>0</v>
      </c>
    </row>
    <row r="171" spans="1:15">
      <c r="A171">
        <v>5</v>
      </c>
      <c r="B171" t="s">
        <v>151</v>
      </c>
      <c r="C171">
        <v>2</v>
      </c>
      <c r="D171">
        <v>0.1</v>
      </c>
      <c r="E171">
        <v>10</v>
      </c>
      <c r="F171" t="s">
        <v>213</v>
      </c>
      <c r="G171" t="s">
        <v>98</v>
      </c>
      <c r="H171">
        <v>4</v>
      </c>
      <c r="I171">
        <v>0</v>
      </c>
      <c r="J171">
        <v>0.11</v>
      </c>
      <c r="K171">
        <v>2.06</v>
      </c>
      <c r="L171" t="s">
        <v>30</v>
      </c>
      <c r="M171">
        <f>H171+I171</f>
        <v>0</v>
      </c>
      <c r="N171">
        <f>SI(M171&gt;0,H171/M171,"")</f>
        <v>0</v>
      </c>
      <c r="O171">
        <f>VALOR(ESPACIOS(EXTRAE(L171;HALLAR(":";L171)+1;HALLAR(",";L171)-HALLAR(":";L171)-1)))+VALOR(ESPACIOS(EXTRAE(L171;HALLAR("conditionals:";L171)+13;LARGO(L171)))))</f>
        <v>0</v>
      </c>
    </row>
    <row r="172" spans="1:15">
      <c r="A172">
        <v>1</v>
      </c>
      <c r="B172" t="s">
        <v>151</v>
      </c>
      <c r="C172">
        <v>2</v>
      </c>
      <c r="D172">
        <v>0.5</v>
      </c>
      <c r="E172">
        <v>30</v>
      </c>
      <c r="F172" t="s">
        <v>214</v>
      </c>
      <c r="G172" t="s">
        <v>175</v>
      </c>
      <c r="H172">
        <v>4</v>
      </c>
      <c r="I172">
        <v>0</v>
      </c>
      <c r="J172">
        <v>0.11</v>
      </c>
      <c r="K172">
        <v>2.02</v>
      </c>
      <c r="L172" t="s">
        <v>215</v>
      </c>
      <c r="M172">
        <f>H172+I172</f>
        <v>0</v>
      </c>
      <c r="N172">
        <f>SI(M172&gt;0,H172/M172,"")</f>
        <v>0</v>
      </c>
      <c r="O172">
        <f>VALOR(ESPACIOS(EXTRAE(L172;HALLAR(":";L172)+1;HALLAR(",";L172)-HALLAR(":";L172)-1)))+VALOR(ESPACIOS(EXTRAE(L172;HALLAR("conditionals:";L172)+13;LARGO(L172)))))</f>
        <v>0</v>
      </c>
    </row>
    <row r="173" spans="1:15">
      <c r="A173">
        <v>2</v>
      </c>
      <c r="B173" t="s">
        <v>151</v>
      </c>
      <c r="C173">
        <v>2</v>
      </c>
      <c r="D173">
        <v>0.5</v>
      </c>
      <c r="E173">
        <v>30</v>
      </c>
      <c r="F173" t="s">
        <v>216</v>
      </c>
      <c r="G173" t="s">
        <v>105</v>
      </c>
      <c r="H173">
        <v>7</v>
      </c>
      <c r="I173">
        <v>0</v>
      </c>
      <c r="J173">
        <v>0.11</v>
      </c>
      <c r="K173">
        <v>2.02</v>
      </c>
      <c r="L173" t="s">
        <v>45</v>
      </c>
      <c r="M173">
        <f>H173+I173</f>
        <v>0</v>
      </c>
      <c r="N173">
        <f>SI(M173&gt;0,H173/M173,"")</f>
        <v>0</v>
      </c>
      <c r="O173">
        <f>VALOR(ESPACIOS(EXTRAE(L173;HALLAR(":";L173)+1;HALLAR(",";L173)-HALLAR(":";L173)-1)))+VALOR(ESPACIOS(EXTRAE(L173;HALLAR("conditionals:";L173)+13;LARGO(L173)))))</f>
        <v>0</v>
      </c>
    </row>
    <row r="174" spans="1:15">
      <c r="A174">
        <v>3</v>
      </c>
      <c r="B174" t="s">
        <v>151</v>
      </c>
      <c r="C174">
        <v>2</v>
      </c>
      <c r="D174">
        <v>0.5</v>
      </c>
      <c r="E174">
        <v>30</v>
      </c>
      <c r="F174" t="s">
        <v>217</v>
      </c>
      <c r="G174" t="s">
        <v>17</v>
      </c>
      <c r="H174">
        <v>5</v>
      </c>
      <c r="I174">
        <v>0</v>
      </c>
      <c r="J174">
        <v>0.12</v>
      </c>
      <c r="K174">
        <v>2.01</v>
      </c>
      <c r="L174" t="s">
        <v>48</v>
      </c>
      <c r="M174">
        <f>H174+I174</f>
        <v>0</v>
      </c>
      <c r="N174">
        <f>SI(M174&gt;0,H174/M174,"")</f>
        <v>0</v>
      </c>
      <c r="O174">
        <f>VALOR(ESPACIOS(EXTRAE(L174;HALLAR(":";L174)+1;HALLAR(",";L174)-HALLAR(":";L174)-1)))+VALOR(ESPACIOS(EXTRAE(L174;HALLAR("conditionals:";L174)+13;LARGO(L174)))))</f>
        <v>0</v>
      </c>
    </row>
    <row r="175" spans="1:15">
      <c r="A175">
        <v>4</v>
      </c>
      <c r="B175" t="s">
        <v>151</v>
      </c>
      <c r="C175">
        <v>2</v>
      </c>
      <c r="D175">
        <v>0.5</v>
      </c>
      <c r="E175">
        <v>30</v>
      </c>
      <c r="F175" t="s">
        <v>218</v>
      </c>
      <c r="G175" t="s">
        <v>67</v>
      </c>
      <c r="H175">
        <v>9</v>
      </c>
      <c r="I175">
        <v>0</v>
      </c>
      <c r="J175">
        <v>0.11</v>
      </c>
      <c r="K175">
        <v>2.03</v>
      </c>
      <c r="L175" t="s">
        <v>27</v>
      </c>
      <c r="M175">
        <f>H175+I175</f>
        <v>0</v>
      </c>
      <c r="N175">
        <f>SI(M175&gt;0,H175/M175,"")</f>
        <v>0</v>
      </c>
      <c r="O175">
        <f>VALOR(ESPACIOS(EXTRAE(L175;HALLAR(":";L175)+1;HALLAR(",";L175)-HALLAR(":";L175)-1)))+VALOR(ESPACIOS(EXTRAE(L175;HALLAR("conditionals:";L175)+13;LARGO(L175)))))</f>
        <v>0</v>
      </c>
    </row>
    <row r="176" spans="1:15">
      <c r="A176">
        <v>5</v>
      </c>
      <c r="B176" t="s">
        <v>151</v>
      </c>
      <c r="C176">
        <v>2</v>
      </c>
      <c r="D176">
        <v>0.5</v>
      </c>
      <c r="E176">
        <v>30</v>
      </c>
      <c r="F176" t="s">
        <v>219</v>
      </c>
      <c r="G176" t="s">
        <v>220</v>
      </c>
      <c r="H176">
        <v>4</v>
      </c>
      <c r="I176">
        <v>0</v>
      </c>
      <c r="J176">
        <v>0.11</v>
      </c>
      <c r="K176">
        <v>2.03</v>
      </c>
      <c r="L176" t="s">
        <v>30</v>
      </c>
      <c r="M176">
        <f>H176+I176</f>
        <v>0</v>
      </c>
      <c r="N176">
        <f>SI(M176&gt;0,H176/M176,"")</f>
        <v>0</v>
      </c>
      <c r="O176">
        <f>VALOR(ESPACIOS(EXTRAE(L176;HALLAR(":";L176)+1;HALLAR(",";L176)-HALLAR(":";L176)-1)))+VALOR(ESPACIOS(EXTRAE(L176;HALLAR("conditionals:";L176)+13;LARGO(L176)))))</f>
        <v>0</v>
      </c>
    </row>
    <row r="177" spans="1:15">
      <c r="A177">
        <v>1</v>
      </c>
      <c r="B177" t="s">
        <v>151</v>
      </c>
      <c r="C177">
        <v>2</v>
      </c>
      <c r="D177">
        <v>0.95</v>
      </c>
      <c r="E177">
        <v>100</v>
      </c>
      <c r="F177" t="s">
        <v>221</v>
      </c>
      <c r="G177" t="s">
        <v>98</v>
      </c>
      <c r="H177">
        <v>4</v>
      </c>
      <c r="I177">
        <v>0</v>
      </c>
      <c r="J177">
        <v>0.11</v>
      </c>
      <c r="K177">
        <v>2.06</v>
      </c>
      <c r="L177" t="s">
        <v>42</v>
      </c>
      <c r="M177">
        <f>H177+I177</f>
        <v>0</v>
      </c>
      <c r="N177">
        <f>SI(M177&gt;0,H177/M177,"")</f>
        <v>0</v>
      </c>
      <c r="O177">
        <f>VALOR(ESPACIOS(EXTRAE(L177;HALLAR(":";L177)+1;HALLAR(",";L177)-HALLAR(":";L177)-1)))+VALOR(ESPACIOS(EXTRAE(L177;HALLAR("conditionals:";L177)+13;LARGO(L177)))))</f>
        <v>0</v>
      </c>
    </row>
    <row r="178" spans="1:15">
      <c r="A178">
        <v>2</v>
      </c>
      <c r="B178" t="s">
        <v>151</v>
      </c>
      <c r="C178">
        <v>2</v>
      </c>
      <c r="D178">
        <v>0.95</v>
      </c>
      <c r="E178">
        <v>100</v>
      </c>
      <c r="F178" t="s">
        <v>222</v>
      </c>
      <c r="G178" t="s">
        <v>29</v>
      </c>
      <c r="H178">
        <v>6</v>
      </c>
      <c r="I178">
        <v>0</v>
      </c>
      <c r="J178">
        <v>0.11</v>
      </c>
      <c r="K178">
        <v>2.04</v>
      </c>
      <c r="L178" t="s">
        <v>45</v>
      </c>
      <c r="M178">
        <f>H178+I178</f>
        <v>0</v>
      </c>
      <c r="N178">
        <f>SI(M178&gt;0,H178/M178,"")</f>
        <v>0</v>
      </c>
      <c r="O178">
        <f>VALOR(ESPACIOS(EXTRAE(L178;HALLAR(":";L178)+1;HALLAR(",";L178)-HALLAR(":";L178)-1)))+VALOR(ESPACIOS(EXTRAE(L178;HALLAR("conditionals:";L178)+13;LARGO(L178)))))</f>
        <v>0</v>
      </c>
    </row>
    <row r="179" spans="1:15">
      <c r="A179">
        <v>3</v>
      </c>
      <c r="B179" t="s">
        <v>151</v>
      </c>
      <c r="C179">
        <v>2</v>
      </c>
      <c r="D179">
        <v>0.95</v>
      </c>
      <c r="E179">
        <v>100</v>
      </c>
      <c r="F179" t="s">
        <v>223</v>
      </c>
      <c r="G179" t="s">
        <v>17</v>
      </c>
      <c r="H179">
        <v>5</v>
      </c>
      <c r="I179">
        <v>0</v>
      </c>
      <c r="J179">
        <v>0.11</v>
      </c>
      <c r="K179">
        <v>2.02</v>
      </c>
      <c r="L179" t="s">
        <v>48</v>
      </c>
      <c r="M179">
        <f>H179+I179</f>
        <v>0</v>
      </c>
      <c r="N179">
        <f>SI(M179&gt;0,H179/M179,"")</f>
        <v>0</v>
      </c>
      <c r="O179">
        <f>VALOR(ESPACIOS(EXTRAE(L179;HALLAR(":";L179)+1;HALLAR(",";L179)-HALLAR(":";L179)-1)))+VALOR(ESPACIOS(EXTRAE(L179;HALLAR("conditionals:";L179)+13;LARGO(L179)))))</f>
        <v>0</v>
      </c>
    </row>
    <row r="180" spans="1:15">
      <c r="A180">
        <v>4</v>
      </c>
      <c r="B180" t="s">
        <v>151</v>
      </c>
      <c r="C180">
        <v>2</v>
      </c>
      <c r="D180">
        <v>0.95</v>
      </c>
      <c r="E180">
        <v>100</v>
      </c>
      <c r="F180" t="s">
        <v>224</v>
      </c>
      <c r="G180" t="s">
        <v>20</v>
      </c>
      <c r="H180">
        <v>8</v>
      </c>
      <c r="I180">
        <v>0</v>
      </c>
      <c r="J180">
        <v>0.11</v>
      </c>
      <c r="K180">
        <v>2.01</v>
      </c>
      <c r="L180" t="s">
        <v>27</v>
      </c>
      <c r="M180">
        <f>H180+I180</f>
        <v>0</v>
      </c>
      <c r="N180">
        <f>SI(M180&gt;0,H180/M180,"")</f>
        <v>0</v>
      </c>
      <c r="O180">
        <f>VALOR(ESPACIOS(EXTRAE(L180;HALLAR(":";L180)+1;HALLAR(",";L180)-HALLAR(":";L180)-1)))+VALOR(ESPACIOS(EXTRAE(L180;HALLAR("conditionals:";L180)+13;LARGO(L180)))))</f>
        <v>0</v>
      </c>
    </row>
    <row r="181" spans="1:15">
      <c r="A181">
        <v>5</v>
      </c>
      <c r="B181" t="s">
        <v>151</v>
      </c>
      <c r="C181">
        <v>2</v>
      </c>
      <c r="D181">
        <v>0.95</v>
      </c>
      <c r="E181">
        <v>100</v>
      </c>
      <c r="F181" t="s">
        <v>225</v>
      </c>
      <c r="G181" t="s">
        <v>122</v>
      </c>
      <c r="H181">
        <v>3</v>
      </c>
      <c r="I181">
        <v>0</v>
      </c>
      <c r="J181">
        <v>0.11</v>
      </c>
      <c r="K181">
        <v>2.03</v>
      </c>
      <c r="L181" t="s">
        <v>158</v>
      </c>
      <c r="M181">
        <f>H181+I181</f>
        <v>0</v>
      </c>
      <c r="N181">
        <f>SI(M181&gt;0,H181/M181,"")</f>
        <v>0</v>
      </c>
      <c r="O181">
        <f>VALOR(ESPACIOS(EXTRAE(L181;HALLAR(":";L181)+1;HALLAR(",";L181)-HALLAR(":";L181)-1)))+VALOR(ESPACIOS(EXTRAE(L181;HALLAR("conditionals:";L181)+13;LARGO(L181)))))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FormatPr defaultRowHeight="15"/>
  <cols>
    <col min="1" max="1" width="20.7109375" customWidth="1"/>
    <col min="2" max="4" width="14.7109375" customWidth="1"/>
    <col min="5" max="8" width="18.7109375" customWidth="1"/>
    <col min="9" max="9" width="40.7109375" customWidth="1"/>
    <col min="10" max="16" width="16.7109375" customWidth="1"/>
  </cols>
  <sheetData>
    <row r="1" spans="1:16">
      <c r="A1" t="s">
        <v>226</v>
      </c>
      <c r="B1" t="s">
        <v>227</v>
      </c>
      <c r="C1" t="s">
        <v>3</v>
      </c>
      <c r="D1" t="s">
        <v>4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>
      <c r="A2" t="s">
        <v>106</v>
      </c>
      <c r="B2">
        <v>0.5</v>
      </c>
      <c r="C2">
        <v>0.95</v>
      </c>
      <c r="D2">
        <v>100</v>
      </c>
      <c r="E2">
        <f>PROMEDIO.SI.CONJUNTO('Raw Data'!$N:$N,'Raw Data'!$B:$B,"gemini-2.0-flash",'Raw Data'!$C:$C,"0.5",'Raw Data'!$D:$D,"0.95",'Raw Data'!$E:$E,"100")</f>
        <v>0</v>
      </c>
      <c r="F2">
        <f>PROMEDIO.SI.CONJUNTO('Raw Data'!$J:$J,'Raw Data'!$B:$B,"gemini-2.0-flash",'Raw Data'!$C:$C,"0.5",'Raw Data'!$D:$D,"0.95",'Raw Data'!$E:$E,"100")</f>
        <v>0</v>
      </c>
      <c r="G2">
        <f>PROMEDIO.SI.CONJUNTO('Raw Data'!$K:$K,'Raw Data'!$B:$B,"gemini-2.0-flash",'Raw Data'!$C:$C,"0.5",'Raw Data'!$D:$D,"0.95",'Raw Data'!$E:$E,"100")</f>
        <v>0</v>
      </c>
      <c r="H2">
        <f>PROMEDIO.SI.CONJUNTO('Raw Data'!$O:$O,'Raw Data'!$B:$B,"gemini-2.0-flash",'Raw Data'!$C:$C,"0.5",'Raw Data'!$D:$D,"0.95",'Raw Data'!$E:$E,"100")</f>
        <v>0</v>
      </c>
      <c r="I2">
        <f>A2 &amp; " (T:" &amp; B2 &amp; ", p:" &amp; C2 &amp; ", k:" &amp; D2 &amp; ")"</f>
        <v>0</v>
      </c>
      <c r="J2">
        <f>JERARQUIA.EQV(E2,$E$2:$E$37,0)</f>
        <v>0</v>
      </c>
      <c r="K2">
        <f>JERARQUIA.EQV(F2,$F$2:$F$37,1)</f>
        <v>0</v>
      </c>
      <c r="L2">
        <f>JERARQUIA.EQV(G2,$G$2:$G$37,1)</f>
        <v>0</v>
      </c>
      <c r="M2">
        <f>JERARQUIA.EQV(H2,$H$2:$H$37,1)</f>
        <v>0</v>
      </c>
      <c r="N2">
        <f>PROMEDIO(J2,K2,L2,M2)</f>
        <v>0</v>
      </c>
      <c r="O2">
        <f>SI(N2=MIN($N$2:$N$37),"Yes","")</f>
        <v>0</v>
      </c>
      <c r="P2">
        <f>SI(N2=MIN.SI.CONJUNTO($N$2:$N$37,$A$2:$A$37,A2),"Yes","")</f>
        <v>0</v>
      </c>
    </row>
    <row r="3" spans="1:16">
      <c r="A3" t="s">
        <v>106</v>
      </c>
      <c r="B3">
        <v>2</v>
      </c>
      <c r="C3">
        <v>0.95</v>
      </c>
      <c r="D3">
        <v>100</v>
      </c>
      <c r="E3">
        <f>PROMEDIO.SI.CONJUNTO('Raw Data'!$N:$N,'Raw Data'!$B:$B,"gemini-2.0-flash",'Raw Data'!$C:$C,"2.0",'Raw Data'!$D:$D,"0.95",'Raw Data'!$E:$E,"100")</f>
        <v>0</v>
      </c>
      <c r="F3">
        <f>PROMEDIO.SI.CONJUNTO('Raw Data'!$J:$J,'Raw Data'!$B:$B,"gemini-2.0-flash",'Raw Data'!$C:$C,"2.0",'Raw Data'!$D:$D,"0.95",'Raw Data'!$E:$E,"100")</f>
        <v>0</v>
      </c>
      <c r="G3">
        <f>PROMEDIO.SI.CONJUNTO('Raw Data'!$K:$K,'Raw Data'!$B:$B,"gemini-2.0-flash",'Raw Data'!$C:$C,"2.0",'Raw Data'!$D:$D,"0.95",'Raw Data'!$E:$E,"100")</f>
        <v>0</v>
      </c>
      <c r="H3">
        <f>PROMEDIO.SI.CONJUNTO('Raw Data'!$O:$O,'Raw Data'!$B:$B,"gemini-2.0-flash",'Raw Data'!$C:$C,"2.0",'Raw Data'!$D:$D,"0.95",'Raw Data'!$E:$E,"100")</f>
        <v>0</v>
      </c>
      <c r="I3">
        <f>A3 &amp; " (T:" &amp; B3 &amp; ", p:" &amp; C3 &amp; ", k:" &amp; D3 &amp; ")"</f>
        <v>0</v>
      </c>
      <c r="J3">
        <f>JERARQUIA.EQV(E3,$E$2:$E$37,0)</f>
        <v>0</v>
      </c>
      <c r="K3">
        <f>JERARQUIA.EQV(F3,$F$2:$F$37,1)</f>
        <v>0</v>
      </c>
      <c r="L3">
        <f>JERARQUIA.EQV(G3,$G$2:$G$37,1)</f>
        <v>0</v>
      </c>
      <c r="M3">
        <f>JERARQUIA.EQV(H3,$H$2:$H$37,1)</f>
        <v>0</v>
      </c>
      <c r="N3">
        <f>PROMEDIO(J3,K3,L3,M3)</f>
        <v>0</v>
      </c>
      <c r="O3">
        <f>SI(N3=MIN($N$2:$N$37),"Yes","")</f>
        <v>0</v>
      </c>
      <c r="P3">
        <f>SI(N3=MIN.SI.CONJUNTO($N$2:$N$37,$A$2:$A$37,A3),"Yes","")</f>
        <v>0</v>
      </c>
    </row>
    <row r="4" spans="1:16">
      <c r="A4" t="s">
        <v>106</v>
      </c>
      <c r="B4">
        <v>2</v>
      </c>
      <c r="C4">
        <v>0.5</v>
      </c>
      <c r="D4">
        <v>30</v>
      </c>
      <c r="E4">
        <f>PROMEDIO.SI.CONJUNTO('Raw Data'!$N:$N,'Raw Data'!$B:$B,"gemini-2.0-flash",'Raw Data'!$C:$C,"2.0",'Raw Data'!$D:$D,"0.5",'Raw Data'!$E:$E,"30")</f>
        <v>0</v>
      </c>
      <c r="F4">
        <f>PROMEDIO.SI.CONJUNTO('Raw Data'!$J:$J,'Raw Data'!$B:$B,"gemini-2.0-flash",'Raw Data'!$C:$C,"2.0",'Raw Data'!$D:$D,"0.5",'Raw Data'!$E:$E,"30")</f>
        <v>0</v>
      </c>
      <c r="G4">
        <f>PROMEDIO.SI.CONJUNTO('Raw Data'!$K:$K,'Raw Data'!$B:$B,"gemini-2.0-flash",'Raw Data'!$C:$C,"2.0",'Raw Data'!$D:$D,"0.5",'Raw Data'!$E:$E,"30")</f>
        <v>0</v>
      </c>
      <c r="H4">
        <f>PROMEDIO.SI.CONJUNTO('Raw Data'!$O:$O,'Raw Data'!$B:$B,"gemini-2.0-flash",'Raw Data'!$C:$C,"2.0",'Raw Data'!$D:$D,"0.5",'Raw Data'!$E:$E,"30")</f>
        <v>0</v>
      </c>
      <c r="I4">
        <f>A4 &amp; " (T:" &amp; B4 &amp; ", p:" &amp; C4 &amp; ", k:" &amp; D4 &amp; ")"</f>
        <v>0</v>
      </c>
      <c r="J4">
        <f>JERARQUIA.EQV(E4,$E$2:$E$37,0)</f>
        <v>0</v>
      </c>
      <c r="K4">
        <f>JERARQUIA.EQV(F4,$F$2:$F$37,1)</f>
        <v>0</v>
      </c>
      <c r="L4">
        <f>JERARQUIA.EQV(G4,$G$2:$G$37,1)</f>
        <v>0</v>
      </c>
      <c r="M4">
        <f>JERARQUIA.EQV(H4,$H$2:$H$37,1)</f>
        <v>0</v>
      </c>
      <c r="N4">
        <f>PROMEDIO(J4,K4,L4,M4)</f>
        <v>0</v>
      </c>
      <c r="O4">
        <f>SI(N4=MIN($N$2:$N$37),"Yes","")</f>
        <v>0</v>
      </c>
      <c r="P4">
        <f>SI(N4=MIN.SI.CONJUNTO($N$2:$N$37,$A$2:$A$37,A4),"Yes","")</f>
        <v>0</v>
      </c>
    </row>
    <row r="5" spans="1:16">
      <c r="A5" t="s">
        <v>106</v>
      </c>
      <c r="B5">
        <v>2</v>
      </c>
      <c r="C5">
        <v>0.1</v>
      </c>
      <c r="D5">
        <v>10</v>
      </c>
      <c r="E5">
        <f>PROMEDIO.SI.CONJUNTO('Raw Data'!$N:$N,'Raw Data'!$B:$B,"gemini-2.0-flash",'Raw Data'!$C:$C,"2.0",'Raw Data'!$D:$D,"0.1",'Raw Data'!$E:$E,"10")</f>
        <v>0</v>
      </c>
      <c r="F5">
        <f>PROMEDIO.SI.CONJUNTO('Raw Data'!$J:$J,'Raw Data'!$B:$B,"gemini-2.0-flash",'Raw Data'!$C:$C,"2.0",'Raw Data'!$D:$D,"0.1",'Raw Data'!$E:$E,"10")</f>
        <v>0</v>
      </c>
      <c r="G5">
        <f>PROMEDIO.SI.CONJUNTO('Raw Data'!$K:$K,'Raw Data'!$B:$B,"gemini-2.0-flash",'Raw Data'!$C:$C,"2.0",'Raw Data'!$D:$D,"0.1",'Raw Data'!$E:$E,"10")</f>
        <v>0</v>
      </c>
      <c r="H5">
        <f>PROMEDIO.SI.CONJUNTO('Raw Data'!$O:$O,'Raw Data'!$B:$B,"gemini-2.0-flash",'Raw Data'!$C:$C,"2.0",'Raw Data'!$D:$D,"0.1",'Raw Data'!$E:$E,"10")</f>
        <v>0</v>
      </c>
      <c r="I5">
        <f>A5 &amp; " (T:" &amp; B5 &amp; ", p:" &amp; C5 &amp; ", k:" &amp; D5 &amp; ")"</f>
        <v>0</v>
      </c>
      <c r="J5">
        <f>JERARQUIA.EQV(E5,$E$2:$E$37,0)</f>
        <v>0</v>
      </c>
      <c r="K5">
        <f>JERARQUIA.EQV(F5,$F$2:$F$37,1)</f>
        <v>0</v>
      </c>
      <c r="L5">
        <f>JERARQUIA.EQV(G5,$G$2:$G$37,1)</f>
        <v>0</v>
      </c>
      <c r="M5">
        <f>JERARQUIA.EQV(H5,$H$2:$H$37,1)</f>
        <v>0</v>
      </c>
      <c r="N5">
        <f>PROMEDIO(J5,K5,L5,M5)</f>
        <v>0</v>
      </c>
      <c r="O5">
        <f>SI(N5=MIN($N$2:$N$37),"Yes","")</f>
        <v>0</v>
      </c>
      <c r="P5">
        <f>SI(N5=MIN.SI.CONJUNTO($N$2:$N$37,$A$2:$A$37,A5),"Yes","")</f>
        <v>0</v>
      </c>
    </row>
    <row r="6" spans="1:16">
      <c r="A6" t="s">
        <v>106</v>
      </c>
      <c r="B6">
        <v>1</v>
      </c>
      <c r="C6">
        <v>0.95</v>
      </c>
      <c r="D6">
        <v>100</v>
      </c>
      <c r="E6">
        <f>PROMEDIO.SI.CONJUNTO('Raw Data'!$N:$N,'Raw Data'!$B:$B,"gemini-2.0-flash",'Raw Data'!$C:$C,"1.0",'Raw Data'!$D:$D,"0.95",'Raw Data'!$E:$E,"100")</f>
        <v>0</v>
      </c>
      <c r="F6">
        <f>PROMEDIO.SI.CONJUNTO('Raw Data'!$J:$J,'Raw Data'!$B:$B,"gemini-2.0-flash",'Raw Data'!$C:$C,"1.0",'Raw Data'!$D:$D,"0.95",'Raw Data'!$E:$E,"100")</f>
        <v>0</v>
      </c>
      <c r="G6">
        <f>PROMEDIO.SI.CONJUNTO('Raw Data'!$K:$K,'Raw Data'!$B:$B,"gemini-2.0-flash",'Raw Data'!$C:$C,"1.0",'Raw Data'!$D:$D,"0.95",'Raw Data'!$E:$E,"100")</f>
        <v>0</v>
      </c>
      <c r="H6">
        <f>PROMEDIO.SI.CONJUNTO('Raw Data'!$O:$O,'Raw Data'!$B:$B,"gemini-2.0-flash",'Raw Data'!$C:$C,"1.0",'Raw Data'!$D:$D,"0.95",'Raw Data'!$E:$E,"100")</f>
        <v>0</v>
      </c>
      <c r="I6">
        <f>A6 &amp; " (T:" &amp; B6 &amp; ", p:" &amp; C6 &amp; ", k:" &amp; D6 &amp; ")"</f>
        <v>0</v>
      </c>
      <c r="J6">
        <f>JERARQUIA.EQV(E6,$E$2:$E$37,0)</f>
        <v>0</v>
      </c>
      <c r="K6">
        <f>JERARQUIA.EQV(F6,$F$2:$F$37,1)</f>
        <v>0</v>
      </c>
      <c r="L6">
        <f>JERARQUIA.EQV(G6,$G$2:$G$37,1)</f>
        <v>0</v>
      </c>
      <c r="M6">
        <f>JERARQUIA.EQV(H6,$H$2:$H$37,1)</f>
        <v>0</v>
      </c>
      <c r="N6">
        <f>PROMEDIO(J6,K6,L6,M6)</f>
        <v>0</v>
      </c>
      <c r="O6">
        <f>SI(N6=MIN($N$2:$N$37),"Yes","")</f>
        <v>0</v>
      </c>
      <c r="P6">
        <f>SI(N6=MIN.SI.CONJUNTO($N$2:$N$37,$A$2:$A$37,A6),"Yes","")</f>
        <v>0</v>
      </c>
    </row>
    <row r="7" spans="1:16">
      <c r="A7" t="s">
        <v>106</v>
      </c>
      <c r="B7">
        <v>1</v>
      </c>
      <c r="C7">
        <v>0.5</v>
      </c>
      <c r="D7">
        <v>30</v>
      </c>
      <c r="E7">
        <f>PROMEDIO.SI.CONJUNTO('Raw Data'!$N:$N,'Raw Data'!$B:$B,"gemini-2.0-flash",'Raw Data'!$C:$C,"1.0",'Raw Data'!$D:$D,"0.5",'Raw Data'!$E:$E,"30")</f>
        <v>0</v>
      </c>
      <c r="F7">
        <f>PROMEDIO.SI.CONJUNTO('Raw Data'!$J:$J,'Raw Data'!$B:$B,"gemini-2.0-flash",'Raw Data'!$C:$C,"1.0",'Raw Data'!$D:$D,"0.5",'Raw Data'!$E:$E,"30")</f>
        <v>0</v>
      </c>
      <c r="G7">
        <f>PROMEDIO.SI.CONJUNTO('Raw Data'!$K:$K,'Raw Data'!$B:$B,"gemini-2.0-flash",'Raw Data'!$C:$C,"1.0",'Raw Data'!$D:$D,"0.5",'Raw Data'!$E:$E,"30")</f>
        <v>0</v>
      </c>
      <c r="H7">
        <f>PROMEDIO.SI.CONJUNTO('Raw Data'!$O:$O,'Raw Data'!$B:$B,"gemini-2.0-flash",'Raw Data'!$C:$C,"1.0",'Raw Data'!$D:$D,"0.5",'Raw Data'!$E:$E,"30")</f>
        <v>0</v>
      </c>
      <c r="I7">
        <f>A7 &amp; " (T:" &amp; B7 &amp; ", p:" &amp; C7 &amp; ", k:" &amp; D7 &amp; ")"</f>
        <v>0</v>
      </c>
      <c r="J7">
        <f>JERARQUIA.EQV(E7,$E$2:$E$37,0)</f>
        <v>0</v>
      </c>
      <c r="K7">
        <f>JERARQUIA.EQV(F7,$F$2:$F$37,1)</f>
        <v>0</v>
      </c>
      <c r="L7">
        <f>JERARQUIA.EQV(G7,$G$2:$G$37,1)</f>
        <v>0</v>
      </c>
      <c r="M7">
        <f>JERARQUIA.EQV(H7,$H$2:$H$37,1)</f>
        <v>0</v>
      </c>
      <c r="N7">
        <f>PROMEDIO(J7,K7,L7,M7)</f>
        <v>0</v>
      </c>
      <c r="O7">
        <f>SI(N7=MIN($N$2:$N$37),"Yes","")</f>
        <v>0</v>
      </c>
      <c r="P7">
        <f>SI(N7=MIN.SI.CONJUNTO($N$2:$N$37,$A$2:$A$37,A7),"Yes","")</f>
        <v>0</v>
      </c>
    </row>
    <row r="8" spans="1:16">
      <c r="A8" t="s">
        <v>106</v>
      </c>
      <c r="B8">
        <v>1</v>
      </c>
      <c r="C8">
        <v>0.1</v>
      </c>
      <c r="D8">
        <v>10</v>
      </c>
      <c r="E8">
        <f>PROMEDIO.SI.CONJUNTO('Raw Data'!$N:$N,'Raw Data'!$B:$B,"gemini-2.0-flash",'Raw Data'!$C:$C,"1.0",'Raw Data'!$D:$D,"0.1",'Raw Data'!$E:$E,"10")</f>
        <v>0</v>
      </c>
      <c r="F8">
        <f>PROMEDIO.SI.CONJUNTO('Raw Data'!$J:$J,'Raw Data'!$B:$B,"gemini-2.0-flash",'Raw Data'!$C:$C,"1.0",'Raw Data'!$D:$D,"0.1",'Raw Data'!$E:$E,"10")</f>
        <v>0</v>
      </c>
      <c r="G8">
        <f>PROMEDIO.SI.CONJUNTO('Raw Data'!$K:$K,'Raw Data'!$B:$B,"gemini-2.0-flash",'Raw Data'!$C:$C,"1.0",'Raw Data'!$D:$D,"0.1",'Raw Data'!$E:$E,"10")</f>
        <v>0</v>
      </c>
      <c r="H8">
        <f>PROMEDIO.SI.CONJUNTO('Raw Data'!$O:$O,'Raw Data'!$B:$B,"gemini-2.0-flash",'Raw Data'!$C:$C,"1.0",'Raw Data'!$D:$D,"0.1",'Raw Data'!$E:$E,"10")</f>
        <v>0</v>
      </c>
      <c r="I8">
        <f>A8 &amp; " (T:" &amp; B8 &amp; ", p:" &amp; C8 &amp; ", k:" &amp; D8 &amp; ")"</f>
        <v>0</v>
      </c>
      <c r="J8">
        <f>JERARQUIA.EQV(E8,$E$2:$E$37,0)</f>
        <v>0</v>
      </c>
      <c r="K8">
        <f>JERARQUIA.EQV(F8,$F$2:$F$37,1)</f>
        <v>0</v>
      </c>
      <c r="L8">
        <f>JERARQUIA.EQV(G8,$G$2:$G$37,1)</f>
        <v>0</v>
      </c>
      <c r="M8">
        <f>JERARQUIA.EQV(H8,$H$2:$H$37,1)</f>
        <v>0</v>
      </c>
      <c r="N8">
        <f>PROMEDIO(J8,K8,L8,M8)</f>
        <v>0</v>
      </c>
      <c r="O8">
        <f>SI(N8=MIN($N$2:$N$37),"Yes","")</f>
        <v>0</v>
      </c>
      <c r="P8">
        <f>SI(N8=MIN.SI.CONJUNTO($N$2:$N$37,$A$2:$A$37,A8),"Yes","")</f>
        <v>0</v>
      </c>
    </row>
    <row r="9" spans="1:16">
      <c r="A9" t="s">
        <v>106</v>
      </c>
      <c r="B9">
        <v>0.5</v>
      </c>
      <c r="C9">
        <v>0.5</v>
      </c>
      <c r="D9">
        <v>30</v>
      </c>
      <c r="E9">
        <f>PROMEDIO.SI.CONJUNTO('Raw Data'!$N:$N,'Raw Data'!$B:$B,"gemini-2.0-flash",'Raw Data'!$C:$C,"0.5",'Raw Data'!$D:$D,"0.5",'Raw Data'!$E:$E,"30")</f>
        <v>0</v>
      </c>
      <c r="F9">
        <f>PROMEDIO.SI.CONJUNTO('Raw Data'!$J:$J,'Raw Data'!$B:$B,"gemini-2.0-flash",'Raw Data'!$C:$C,"0.5",'Raw Data'!$D:$D,"0.5",'Raw Data'!$E:$E,"30")</f>
        <v>0</v>
      </c>
      <c r="G9">
        <f>PROMEDIO.SI.CONJUNTO('Raw Data'!$K:$K,'Raw Data'!$B:$B,"gemini-2.0-flash",'Raw Data'!$C:$C,"0.5",'Raw Data'!$D:$D,"0.5",'Raw Data'!$E:$E,"30")</f>
        <v>0</v>
      </c>
      <c r="H9">
        <f>PROMEDIO.SI.CONJUNTO('Raw Data'!$O:$O,'Raw Data'!$B:$B,"gemini-2.0-flash",'Raw Data'!$C:$C,"0.5",'Raw Data'!$D:$D,"0.5",'Raw Data'!$E:$E,"30")</f>
        <v>0</v>
      </c>
      <c r="I9">
        <f>A9 &amp; " (T:" &amp; B9 &amp; ", p:" &amp; C9 &amp; ", k:" &amp; D9 &amp; ")"</f>
        <v>0</v>
      </c>
      <c r="J9">
        <f>JERARQUIA.EQV(E9,$E$2:$E$37,0)</f>
        <v>0</v>
      </c>
      <c r="K9">
        <f>JERARQUIA.EQV(F9,$F$2:$F$37,1)</f>
        <v>0</v>
      </c>
      <c r="L9">
        <f>JERARQUIA.EQV(G9,$G$2:$G$37,1)</f>
        <v>0</v>
      </c>
      <c r="M9">
        <f>JERARQUIA.EQV(H9,$H$2:$H$37,1)</f>
        <v>0</v>
      </c>
      <c r="N9">
        <f>PROMEDIO(J9,K9,L9,M9)</f>
        <v>0</v>
      </c>
      <c r="O9">
        <f>SI(N9=MIN($N$2:$N$37),"Yes","")</f>
        <v>0</v>
      </c>
      <c r="P9">
        <f>SI(N9=MIN.SI.CONJUNTO($N$2:$N$37,$A$2:$A$37,A9),"Yes","")</f>
        <v>0</v>
      </c>
    </row>
    <row r="10" spans="1:16">
      <c r="A10" t="s">
        <v>106</v>
      </c>
      <c r="B10">
        <v>0.5</v>
      </c>
      <c r="C10">
        <v>0.1</v>
      </c>
      <c r="D10">
        <v>10</v>
      </c>
      <c r="E10">
        <f>PROMEDIO.SI.CONJUNTO('Raw Data'!$N:$N,'Raw Data'!$B:$B,"gemini-2.0-flash",'Raw Data'!$C:$C,"0.5",'Raw Data'!$D:$D,"0.1",'Raw Data'!$E:$E,"10")</f>
        <v>0</v>
      </c>
      <c r="F10">
        <f>PROMEDIO.SI.CONJUNTO('Raw Data'!$J:$J,'Raw Data'!$B:$B,"gemini-2.0-flash",'Raw Data'!$C:$C,"0.5",'Raw Data'!$D:$D,"0.1",'Raw Data'!$E:$E,"10")</f>
        <v>0</v>
      </c>
      <c r="G10">
        <f>PROMEDIO.SI.CONJUNTO('Raw Data'!$K:$K,'Raw Data'!$B:$B,"gemini-2.0-flash",'Raw Data'!$C:$C,"0.5",'Raw Data'!$D:$D,"0.1",'Raw Data'!$E:$E,"10")</f>
        <v>0</v>
      </c>
      <c r="H10">
        <f>PROMEDIO.SI.CONJUNTO('Raw Data'!$O:$O,'Raw Data'!$B:$B,"gemini-2.0-flash",'Raw Data'!$C:$C,"0.5",'Raw Data'!$D:$D,"0.1",'Raw Data'!$E:$E,"10")</f>
        <v>0</v>
      </c>
      <c r="I10">
        <f>A10 &amp; " (T:" &amp; B10 &amp; ", p:" &amp; C10 &amp; ", k:" &amp; D10 &amp; ")"</f>
        <v>0</v>
      </c>
      <c r="J10">
        <f>JERARQUIA.EQV(E10,$E$2:$E$37,0)</f>
        <v>0</v>
      </c>
      <c r="K10">
        <f>JERARQUIA.EQV(F10,$F$2:$F$37,1)</f>
        <v>0</v>
      </c>
      <c r="L10">
        <f>JERARQUIA.EQV(G10,$G$2:$G$37,1)</f>
        <v>0</v>
      </c>
      <c r="M10">
        <f>JERARQUIA.EQV(H10,$H$2:$H$37,1)</f>
        <v>0</v>
      </c>
      <c r="N10">
        <f>PROMEDIO(J10,K10,L10,M10)</f>
        <v>0</v>
      </c>
      <c r="O10">
        <f>SI(N10=MIN($N$2:$N$37),"Yes","")</f>
        <v>0</v>
      </c>
      <c r="P10">
        <f>SI(N10=MIN.SI.CONJUNTO($N$2:$N$37,$A$2:$A$37,A10),"Yes","")</f>
        <v>0</v>
      </c>
    </row>
    <row r="11" spans="1:16">
      <c r="A11" t="s">
        <v>106</v>
      </c>
      <c r="B11">
        <v>0</v>
      </c>
      <c r="C11">
        <v>0.95</v>
      </c>
      <c r="D11">
        <v>100</v>
      </c>
      <c r="E11">
        <f>PROMEDIO.SI.CONJUNTO('Raw Data'!$N:$N,'Raw Data'!$B:$B,"gemini-2.0-flash",'Raw Data'!$C:$C,"0.0",'Raw Data'!$D:$D,"0.95",'Raw Data'!$E:$E,"100")</f>
        <v>0</v>
      </c>
      <c r="F11">
        <f>PROMEDIO.SI.CONJUNTO('Raw Data'!$J:$J,'Raw Data'!$B:$B,"gemini-2.0-flash",'Raw Data'!$C:$C,"0.0",'Raw Data'!$D:$D,"0.95",'Raw Data'!$E:$E,"100")</f>
        <v>0</v>
      </c>
      <c r="G11">
        <f>PROMEDIO.SI.CONJUNTO('Raw Data'!$K:$K,'Raw Data'!$B:$B,"gemini-2.0-flash",'Raw Data'!$C:$C,"0.0",'Raw Data'!$D:$D,"0.95",'Raw Data'!$E:$E,"100")</f>
        <v>0</v>
      </c>
      <c r="H11">
        <f>PROMEDIO.SI.CONJUNTO('Raw Data'!$O:$O,'Raw Data'!$B:$B,"gemini-2.0-flash",'Raw Data'!$C:$C,"0.0",'Raw Data'!$D:$D,"0.95",'Raw Data'!$E:$E,"100")</f>
        <v>0</v>
      </c>
      <c r="I11">
        <f>A11 &amp; " (T:" &amp; B11 &amp; ", p:" &amp; C11 &amp; ", k:" &amp; D11 &amp; ")"</f>
        <v>0</v>
      </c>
      <c r="J11">
        <f>JERARQUIA.EQV(E11,$E$2:$E$37,0)</f>
        <v>0</v>
      </c>
      <c r="K11">
        <f>JERARQUIA.EQV(F11,$F$2:$F$37,1)</f>
        <v>0</v>
      </c>
      <c r="L11">
        <f>JERARQUIA.EQV(G11,$G$2:$G$37,1)</f>
        <v>0</v>
      </c>
      <c r="M11">
        <f>JERARQUIA.EQV(H11,$H$2:$H$37,1)</f>
        <v>0</v>
      </c>
      <c r="N11">
        <f>PROMEDIO(J11,K11,L11,M11)</f>
        <v>0</v>
      </c>
      <c r="O11">
        <f>SI(N11=MIN($N$2:$N$37),"Yes","")</f>
        <v>0</v>
      </c>
      <c r="P11">
        <f>SI(N11=MIN.SI.CONJUNTO($N$2:$N$37,$A$2:$A$37,A11),"Yes","")</f>
        <v>0</v>
      </c>
    </row>
    <row r="12" spans="1:16">
      <c r="A12" t="s">
        <v>106</v>
      </c>
      <c r="B12">
        <v>0</v>
      </c>
      <c r="C12">
        <v>0.5</v>
      </c>
      <c r="D12">
        <v>30</v>
      </c>
      <c r="E12">
        <f>PROMEDIO.SI.CONJUNTO('Raw Data'!$N:$N,'Raw Data'!$B:$B,"gemini-2.0-flash",'Raw Data'!$C:$C,"0.0",'Raw Data'!$D:$D,"0.5",'Raw Data'!$E:$E,"30")</f>
        <v>0</v>
      </c>
      <c r="F12">
        <f>PROMEDIO.SI.CONJUNTO('Raw Data'!$J:$J,'Raw Data'!$B:$B,"gemini-2.0-flash",'Raw Data'!$C:$C,"0.0",'Raw Data'!$D:$D,"0.5",'Raw Data'!$E:$E,"30")</f>
        <v>0</v>
      </c>
      <c r="G12">
        <f>PROMEDIO.SI.CONJUNTO('Raw Data'!$K:$K,'Raw Data'!$B:$B,"gemini-2.0-flash",'Raw Data'!$C:$C,"0.0",'Raw Data'!$D:$D,"0.5",'Raw Data'!$E:$E,"30")</f>
        <v>0</v>
      </c>
      <c r="H12">
        <f>PROMEDIO.SI.CONJUNTO('Raw Data'!$O:$O,'Raw Data'!$B:$B,"gemini-2.0-flash",'Raw Data'!$C:$C,"0.0",'Raw Data'!$D:$D,"0.5",'Raw Data'!$E:$E,"30")</f>
        <v>0</v>
      </c>
      <c r="I12">
        <f>A12 &amp; " (T:" &amp; B12 &amp; ", p:" &amp; C12 &amp; ", k:" &amp; D12 &amp; ")"</f>
        <v>0</v>
      </c>
      <c r="J12">
        <f>JERARQUIA.EQV(E12,$E$2:$E$37,0)</f>
        <v>0</v>
      </c>
      <c r="K12">
        <f>JERARQUIA.EQV(F12,$F$2:$F$37,1)</f>
        <v>0</v>
      </c>
      <c r="L12">
        <f>JERARQUIA.EQV(G12,$G$2:$G$37,1)</f>
        <v>0</v>
      </c>
      <c r="M12">
        <f>JERARQUIA.EQV(H12,$H$2:$H$37,1)</f>
        <v>0</v>
      </c>
      <c r="N12">
        <f>PROMEDIO(J12,K12,L12,M12)</f>
        <v>0</v>
      </c>
      <c r="O12">
        <f>SI(N12=MIN($N$2:$N$37),"Yes","")</f>
        <v>0</v>
      </c>
      <c r="P12">
        <f>SI(N12=MIN.SI.CONJUNTO($N$2:$N$37,$A$2:$A$37,A12),"Yes","")</f>
        <v>0</v>
      </c>
    </row>
    <row r="13" spans="1:16">
      <c r="A13" t="s">
        <v>106</v>
      </c>
      <c r="B13">
        <v>0</v>
      </c>
      <c r="C13">
        <v>0.1</v>
      </c>
      <c r="D13">
        <v>10</v>
      </c>
      <c r="E13">
        <f>PROMEDIO.SI.CONJUNTO('Raw Data'!$N:$N,'Raw Data'!$B:$B,"gemini-2.0-flash",'Raw Data'!$C:$C,"0.0",'Raw Data'!$D:$D,"0.1",'Raw Data'!$E:$E,"10")</f>
        <v>0</v>
      </c>
      <c r="F13">
        <f>PROMEDIO.SI.CONJUNTO('Raw Data'!$J:$J,'Raw Data'!$B:$B,"gemini-2.0-flash",'Raw Data'!$C:$C,"0.0",'Raw Data'!$D:$D,"0.1",'Raw Data'!$E:$E,"10")</f>
        <v>0</v>
      </c>
      <c r="G13">
        <f>PROMEDIO.SI.CONJUNTO('Raw Data'!$K:$K,'Raw Data'!$B:$B,"gemini-2.0-flash",'Raw Data'!$C:$C,"0.0",'Raw Data'!$D:$D,"0.1",'Raw Data'!$E:$E,"10")</f>
        <v>0</v>
      </c>
      <c r="H13">
        <f>PROMEDIO.SI.CONJUNTO('Raw Data'!$O:$O,'Raw Data'!$B:$B,"gemini-2.0-flash",'Raw Data'!$C:$C,"0.0",'Raw Data'!$D:$D,"0.1",'Raw Data'!$E:$E,"10")</f>
        <v>0</v>
      </c>
      <c r="I13">
        <f>A13 &amp; " (T:" &amp; B13 &amp; ", p:" &amp; C13 &amp; ", k:" &amp; D13 &amp; ")"</f>
        <v>0</v>
      </c>
      <c r="J13">
        <f>JERARQUIA.EQV(E13,$E$2:$E$37,0)</f>
        <v>0</v>
      </c>
      <c r="K13">
        <f>JERARQUIA.EQV(F13,$F$2:$F$37,1)</f>
        <v>0</v>
      </c>
      <c r="L13">
        <f>JERARQUIA.EQV(G13,$G$2:$G$37,1)</f>
        <v>0</v>
      </c>
      <c r="M13">
        <f>JERARQUIA.EQV(H13,$H$2:$H$37,1)</f>
        <v>0</v>
      </c>
      <c r="N13">
        <f>PROMEDIO(J13,K13,L13,M13)</f>
        <v>0</v>
      </c>
      <c r="O13">
        <f>SI(N13=MIN($N$2:$N$37),"Yes","")</f>
        <v>0</v>
      </c>
      <c r="P13">
        <f>SI(N13=MIN.SI.CONJUNTO($N$2:$N$37,$A$2:$A$37,A13),"Yes","")</f>
        <v>0</v>
      </c>
    </row>
    <row r="14" spans="1:16">
      <c r="A14" t="s">
        <v>15</v>
      </c>
      <c r="B14">
        <v>0</v>
      </c>
      <c r="C14">
        <v>0.1</v>
      </c>
      <c r="D14">
        <v>10</v>
      </c>
      <c r="E14">
        <f>PROMEDIO.SI.CONJUNTO('Raw Data'!$N:$N,'Raw Data'!$B:$B,"gemini-2.0-flash-lite",'Raw Data'!$C:$C,"0.0",'Raw Data'!$D:$D,"0.1",'Raw Data'!$E:$E,"10")</f>
        <v>0</v>
      </c>
      <c r="F14">
        <f>PROMEDIO.SI.CONJUNTO('Raw Data'!$J:$J,'Raw Data'!$B:$B,"gemini-2.0-flash-lite",'Raw Data'!$C:$C,"0.0",'Raw Data'!$D:$D,"0.1",'Raw Data'!$E:$E,"10")</f>
        <v>0</v>
      </c>
      <c r="G14">
        <f>PROMEDIO.SI.CONJUNTO('Raw Data'!$K:$K,'Raw Data'!$B:$B,"gemini-2.0-flash-lite",'Raw Data'!$C:$C,"0.0",'Raw Data'!$D:$D,"0.1",'Raw Data'!$E:$E,"10")</f>
        <v>0</v>
      </c>
      <c r="H14">
        <f>PROMEDIO.SI.CONJUNTO('Raw Data'!$O:$O,'Raw Data'!$B:$B,"gemini-2.0-flash-lite",'Raw Data'!$C:$C,"0.0",'Raw Data'!$D:$D,"0.1",'Raw Data'!$E:$E,"10")</f>
        <v>0</v>
      </c>
      <c r="I14">
        <f>A14 &amp; " (T:" &amp; B14 &amp; ", p:" &amp; C14 &amp; ", k:" &amp; D14 &amp; ")"</f>
        <v>0</v>
      </c>
      <c r="J14">
        <f>JERARQUIA.EQV(E14,$E$2:$E$37,0)</f>
        <v>0</v>
      </c>
      <c r="K14">
        <f>JERARQUIA.EQV(F14,$F$2:$F$37,1)</f>
        <v>0</v>
      </c>
      <c r="L14">
        <f>JERARQUIA.EQV(G14,$G$2:$G$37,1)</f>
        <v>0</v>
      </c>
      <c r="M14">
        <f>JERARQUIA.EQV(H14,$H$2:$H$37,1)</f>
        <v>0</v>
      </c>
      <c r="N14">
        <f>PROMEDIO(J14,K14,L14,M14)</f>
        <v>0</v>
      </c>
      <c r="O14">
        <f>SI(N14=MIN($N$2:$N$37),"Yes","")</f>
        <v>0</v>
      </c>
      <c r="P14">
        <f>SI(N14=MIN.SI.CONJUNTO($N$2:$N$37,$A$2:$A$37,A14),"Yes","")</f>
        <v>0</v>
      </c>
    </row>
    <row r="15" spans="1:16">
      <c r="A15" t="s">
        <v>15</v>
      </c>
      <c r="B15">
        <v>2</v>
      </c>
      <c r="C15">
        <v>0.5</v>
      </c>
      <c r="D15">
        <v>30</v>
      </c>
      <c r="E15">
        <f>PROMEDIO.SI.CONJUNTO('Raw Data'!$N:$N,'Raw Data'!$B:$B,"gemini-2.0-flash-lite",'Raw Data'!$C:$C,"2.0",'Raw Data'!$D:$D,"0.5",'Raw Data'!$E:$E,"30")</f>
        <v>0</v>
      </c>
      <c r="F15">
        <f>PROMEDIO.SI.CONJUNTO('Raw Data'!$J:$J,'Raw Data'!$B:$B,"gemini-2.0-flash-lite",'Raw Data'!$C:$C,"2.0",'Raw Data'!$D:$D,"0.5",'Raw Data'!$E:$E,"30")</f>
        <v>0</v>
      </c>
      <c r="G15">
        <f>PROMEDIO.SI.CONJUNTO('Raw Data'!$K:$K,'Raw Data'!$B:$B,"gemini-2.0-flash-lite",'Raw Data'!$C:$C,"2.0",'Raw Data'!$D:$D,"0.5",'Raw Data'!$E:$E,"30")</f>
        <v>0</v>
      </c>
      <c r="H15">
        <f>PROMEDIO.SI.CONJUNTO('Raw Data'!$O:$O,'Raw Data'!$B:$B,"gemini-2.0-flash-lite",'Raw Data'!$C:$C,"2.0",'Raw Data'!$D:$D,"0.5",'Raw Data'!$E:$E,"30")</f>
        <v>0</v>
      </c>
      <c r="I15">
        <f>A15 &amp; " (T:" &amp; B15 &amp; ", p:" &amp; C15 &amp; ", k:" &amp; D15 &amp; ")"</f>
        <v>0</v>
      </c>
      <c r="J15">
        <f>JERARQUIA.EQV(E15,$E$2:$E$37,0)</f>
        <v>0</v>
      </c>
      <c r="K15">
        <f>JERARQUIA.EQV(F15,$F$2:$F$37,1)</f>
        <v>0</v>
      </c>
      <c r="L15">
        <f>JERARQUIA.EQV(G15,$G$2:$G$37,1)</f>
        <v>0</v>
      </c>
      <c r="M15">
        <f>JERARQUIA.EQV(H15,$H$2:$H$37,1)</f>
        <v>0</v>
      </c>
      <c r="N15">
        <f>PROMEDIO(J15,K15,L15,M15)</f>
        <v>0</v>
      </c>
      <c r="O15">
        <f>SI(N15=MIN($N$2:$N$37),"Yes","")</f>
        <v>0</v>
      </c>
      <c r="P15">
        <f>SI(N15=MIN.SI.CONJUNTO($N$2:$N$37,$A$2:$A$37,A15),"Yes","")</f>
        <v>0</v>
      </c>
    </row>
    <row r="16" spans="1:16">
      <c r="A16" t="s">
        <v>15</v>
      </c>
      <c r="B16">
        <v>2</v>
      </c>
      <c r="C16">
        <v>0.1</v>
      </c>
      <c r="D16">
        <v>10</v>
      </c>
      <c r="E16">
        <f>PROMEDIO.SI.CONJUNTO('Raw Data'!$N:$N,'Raw Data'!$B:$B,"gemini-2.0-flash-lite",'Raw Data'!$C:$C,"2.0",'Raw Data'!$D:$D,"0.1",'Raw Data'!$E:$E,"10")</f>
        <v>0</v>
      </c>
      <c r="F16">
        <f>PROMEDIO.SI.CONJUNTO('Raw Data'!$J:$J,'Raw Data'!$B:$B,"gemini-2.0-flash-lite",'Raw Data'!$C:$C,"2.0",'Raw Data'!$D:$D,"0.1",'Raw Data'!$E:$E,"10")</f>
        <v>0</v>
      </c>
      <c r="G16">
        <f>PROMEDIO.SI.CONJUNTO('Raw Data'!$K:$K,'Raw Data'!$B:$B,"gemini-2.0-flash-lite",'Raw Data'!$C:$C,"2.0",'Raw Data'!$D:$D,"0.1",'Raw Data'!$E:$E,"10")</f>
        <v>0</v>
      </c>
      <c r="H16">
        <f>PROMEDIO.SI.CONJUNTO('Raw Data'!$O:$O,'Raw Data'!$B:$B,"gemini-2.0-flash-lite",'Raw Data'!$C:$C,"2.0",'Raw Data'!$D:$D,"0.1",'Raw Data'!$E:$E,"10")</f>
        <v>0</v>
      </c>
      <c r="I16">
        <f>A16 &amp; " (T:" &amp; B16 &amp; ", p:" &amp; C16 &amp; ", k:" &amp; D16 &amp; ")"</f>
        <v>0</v>
      </c>
      <c r="J16">
        <f>JERARQUIA.EQV(E16,$E$2:$E$37,0)</f>
        <v>0</v>
      </c>
      <c r="K16">
        <f>JERARQUIA.EQV(F16,$F$2:$F$37,1)</f>
        <v>0</v>
      </c>
      <c r="L16">
        <f>JERARQUIA.EQV(G16,$G$2:$G$37,1)</f>
        <v>0</v>
      </c>
      <c r="M16">
        <f>JERARQUIA.EQV(H16,$H$2:$H$37,1)</f>
        <v>0</v>
      </c>
      <c r="N16">
        <f>PROMEDIO(J16,K16,L16,M16)</f>
        <v>0</v>
      </c>
      <c r="O16">
        <f>SI(N16=MIN($N$2:$N$37),"Yes","")</f>
        <v>0</v>
      </c>
      <c r="P16">
        <f>SI(N16=MIN.SI.CONJUNTO($N$2:$N$37,$A$2:$A$37,A16),"Yes","")</f>
        <v>0</v>
      </c>
    </row>
    <row r="17" spans="1:16">
      <c r="A17" t="s">
        <v>15</v>
      </c>
      <c r="B17">
        <v>1</v>
      </c>
      <c r="C17">
        <v>0.95</v>
      </c>
      <c r="D17">
        <v>100</v>
      </c>
      <c r="E17">
        <f>PROMEDIO.SI.CONJUNTO('Raw Data'!$N:$N,'Raw Data'!$B:$B,"gemini-2.0-flash-lite",'Raw Data'!$C:$C,"1.0",'Raw Data'!$D:$D,"0.95",'Raw Data'!$E:$E,"100")</f>
        <v>0</v>
      </c>
      <c r="F17">
        <f>PROMEDIO.SI.CONJUNTO('Raw Data'!$J:$J,'Raw Data'!$B:$B,"gemini-2.0-flash-lite",'Raw Data'!$C:$C,"1.0",'Raw Data'!$D:$D,"0.95",'Raw Data'!$E:$E,"100")</f>
        <v>0</v>
      </c>
      <c r="G17">
        <f>PROMEDIO.SI.CONJUNTO('Raw Data'!$K:$K,'Raw Data'!$B:$B,"gemini-2.0-flash-lite",'Raw Data'!$C:$C,"1.0",'Raw Data'!$D:$D,"0.95",'Raw Data'!$E:$E,"100")</f>
        <v>0</v>
      </c>
      <c r="H17">
        <f>PROMEDIO.SI.CONJUNTO('Raw Data'!$O:$O,'Raw Data'!$B:$B,"gemini-2.0-flash-lite",'Raw Data'!$C:$C,"1.0",'Raw Data'!$D:$D,"0.95",'Raw Data'!$E:$E,"100")</f>
        <v>0</v>
      </c>
      <c r="I17">
        <f>A17 &amp; " (T:" &amp; B17 &amp; ", p:" &amp; C17 &amp; ", k:" &amp; D17 &amp; ")"</f>
        <v>0</v>
      </c>
      <c r="J17">
        <f>JERARQUIA.EQV(E17,$E$2:$E$37,0)</f>
        <v>0</v>
      </c>
      <c r="K17">
        <f>JERARQUIA.EQV(F17,$F$2:$F$37,1)</f>
        <v>0</v>
      </c>
      <c r="L17">
        <f>JERARQUIA.EQV(G17,$G$2:$G$37,1)</f>
        <v>0</v>
      </c>
      <c r="M17">
        <f>JERARQUIA.EQV(H17,$H$2:$H$37,1)</f>
        <v>0</v>
      </c>
      <c r="N17">
        <f>PROMEDIO(J17,K17,L17,M17)</f>
        <v>0</v>
      </c>
      <c r="O17">
        <f>SI(N17=MIN($N$2:$N$37),"Yes","")</f>
        <v>0</v>
      </c>
      <c r="P17">
        <f>SI(N17=MIN.SI.CONJUNTO($N$2:$N$37,$A$2:$A$37,A17),"Yes","")</f>
        <v>0</v>
      </c>
    </row>
    <row r="18" spans="1:16">
      <c r="A18" t="s">
        <v>15</v>
      </c>
      <c r="B18">
        <v>1</v>
      </c>
      <c r="C18">
        <v>0.5</v>
      </c>
      <c r="D18">
        <v>30</v>
      </c>
      <c r="E18">
        <f>PROMEDIO.SI.CONJUNTO('Raw Data'!$N:$N,'Raw Data'!$B:$B,"gemini-2.0-flash-lite",'Raw Data'!$C:$C,"1.0",'Raw Data'!$D:$D,"0.5",'Raw Data'!$E:$E,"30")</f>
        <v>0</v>
      </c>
      <c r="F18">
        <f>PROMEDIO.SI.CONJUNTO('Raw Data'!$J:$J,'Raw Data'!$B:$B,"gemini-2.0-flash-lite",'Raw Data'!$C:$C,"1.0",'Raw Data'!$D:$D,"0.5",'Raw Data'!$E:$E,"30")</f>
        <v>0</v>
      </c>
      <c r="G18">
        <f>PROMEDIO.SI.CONJUNTO('Raw Data'!$K:$K,'Raw Data'!$B:$B,"gemini-2.0-flash-lite",'Raw Data'!$C:$C,"1.0",'Raw Data'!$D:$D,"0.5",'Raw Data'!$E:$E,"30")</f>
        <v>0</v>
      </c>
      <c r="H18">
        <f>PROMEDIO.SI.CONJUNTO('Raw Data'!$O:$O,'Raw Data'!$B:$B,"gemini-2.0-flash-lite",'Raw Data'!$C:$C,"1.0",'Raw Data'!$D:$D,"0.5",'Raw Data'!$E:$E,"30")</f>
        <v>0</v>
      </c>
      <c r="I18">
        <f>A18 &amp; " (T:" &amp; B18 &amp; ", p:" &amp; C18 &amp; ", k:" &amp; D18 &amp; ")"</f>
        <v>0</v>
      </c>
      <c r="J18">
        <f>JERARQUIA.EQV(E18,$E$2:$E$37,0)</f>
        <v>0</v>
      </c>
      <c r="K18">
        <f>JERARQUIA.EQV(F18,$F$2:$F$37,1)</f>
        <v>0</v>
      </c>
      <c r="L18">
        <f>JERARQUIA.EQV(G18,$G$2:$G$37,1)</f>
        <v>0</v>
      </c>
      <c r="M18">
        <f>JERARQUIA.EQV(H18,$H$2:$H$37,1)</f>
        <v>0</v>
      </c>
      <c r="N18">
        <f>PROMEDIO(J18,K18,L18,M18)</f>
        <v>0</v>
      </c>
      <c r="O18">
        <f>SI(N18=MIN($N$2:$N$37),"Yes","")</f>
        <v>0</v>
      </c>
      <c r="P18">
        <f>SI(N18=MIN.SI.CONJUNTO($N$2:$N$37,$A$2:$A$37,A18),"Yes","")</f>
        <v>0</v>
      </c>
    </row>
    <row r="19" spans="1:16">
      <c r="A19" t="s">
        <v>15</v>
      </c>
      <c r="B19">
        <v>1</v>
      </c>
      <c r="C19">
        <v>0.1</v>
      </c>
      <c r="D19">
        <v>10</v>
      </c>
      <c r="E19">
        <f>PROMEDIO.SI.CONJUNTO('Raw Data'!$N:$N,'Raw Data'!$B:$B,"gemini-2.0-flash-lite",'Raw Data'!$C:$C,"1.0",'Raw Data'!$D:$D,"0.1",'Raw Data'!$E:$E,"10")</f>
        <v>0</v>
      </c>
      <c r="F19">
        <f>PROMEDIO.SI.CONJUNTO('Raw Data'!$J:$J,'Raw Data'!$B:$B,"gemini-2.0-flash-lite",'Raw Data'!$C:$C,"1.0",'Raw Data'!$D:$D,"0.1",'Raw Data'!$E:$E,"10")</f>
        <v>0</v>
      </c>
      <c r="G19">
        <f>PROMEDIO.SI.CONJUNTO('Raw Data'!$K:$K,'Raw Data'!$B:$B,"gemini-2.0-flash-lite",'Raw Data'!$C:$C,"1.0",'Raw Data'!$D:$D,"0.1",'Raw Data'!$E:$E,"10")</f>
        <v>0</v>
      </c>
      <c r="H19">
        <f>PROMEDIO.SI.CONJUNTO('Raw Data'!$O:$O,'Raw Data'!$B:$B,"gemini-2.0-flash-lite",'Raw Data'!$C:$C,"1.0",'Raw Data'!$D:$D,"0.1",'Raw Data'!$E:$E,"10")</f>
        <v>0</v>
      </c>
      <c r="I19">
        <f>A19 &amp; " (T:" &amp; B19 &amp; ", p:" &amp; C19 &amp; ", k:" &amp; D19 &amp; ")"</f>
        <v>0</v>
      </c>
      <c r="J19">
        <f>JERARQUIA.EQV(E19,$E$2:$E$37,0)</f>
        <v>0</v>
      </c>
      <c r="K19">
        <f>JERARQUIA.EQV(F19,$F$2:$F$37,1)</f>
        <v>0</v>
      </c>
      <c r="L19">
        <f>JERARQUIA.EQV(G19,$G$2:$G$37,1)</f>
        <v>0</v>
      </c>
      <c r="M19">
        <f>JERARQUIA.EQV(H19,$H$2:$H$37,1)</f>
        <v>0</v>
      </c>
      <c r="N19">
        <f>PROMEDIO(J19,K19,L19,M19)</f>
        <v>0</v>
      </c>
      <c r="O19">
        <f>SI(N19=MIN($N$2:$N$37),"Yes","")</f>
        <v>0</v>
      </c>
      <c r="P19">
        <f>SI(N19=MIN.SI.CONJUNTO($N$2:$N$37,$A$2:$A$37,A19),"Yes","")</f>
        <v>0</v>
      </c>
    </row>
    <row r="20" spans="1:16">
      <c r="A20" t="s">
        <v>15</v>
      </c>
      <c r="B20">
        <v>0.5</v>
      </c>
      <c r="C20">
        <v>0.95</v>
      </c>
      <c r="D20">
        <v>100</v>
      </c>
      <c r="E20">
        <f>PROMEDIO.SI.CONJUNTO('Raw Data'!$N:$N,'Raw Data'!$B:$B,"gemini-2.0-flash-lite",'Raw Data'!$C:$C,"0.5",'Raw Data'!$D:$D,"0.95",'Raw Data'!$E:$E,"100")</f>
        <v>0</v>
      </c>
      <c r="F20">
        <f>PROMEDIO.SI.CONJUNTO('Raw Data'!$J:$J,'Raw Data'!$B:$B,"gemini-2.0-flash-lite",'Raw Data'!$C:$C,"0.5",'Raw Data'!$D:$D,"0.95",'Raw Data'!$E:$E,"100")</f>
        <v>0</v>
      </c>
      <c r="G20">
        <f>PROMEDIO.SI.CONJUNTO('Raw Data'!$K:$K,'Raw Data'!$B:$B,"gemini-2.0-flash-lite",'Raw Data'!$C:$C,"0.5",'Raw Data'!$D:$D,"0.95",'Raw Data'!$E:$E,"100")</f>
        <v>0</v>
      </c>
      <c r="H20">
        <f>PROMEDIO.SI.CONJUNTO('Raw Data'!$O:$O,'Raw Data'!$B:$B,"gemini-2.0-flash-lite",'Raw Data'!$C:$C,"0.5",'Raw Data'!$D:$D,"0.95",'Raw Data'!$E:$E,"100")</f>
        <v>0</v>
      </c>
      <c r="I20">
        <f>A20 &amp; " (T:" &amp; B20 &amp; ", p:" &amp; C20 &amp; ", k:" &amp; D20 &amp; ")"</f>
        <v>0</v>
      </c>
      <c r="J20">
        <f>JERARQUIA.EQV(E20,$E$2:$E$37,0)</f>
        <v>0</v>
      </c>
      <c r="K20">
        <f>JERARQUIA.EQV(F20,$F$2:$F$37,1)</f>
        <v>0</v>
      </c>
      <c r="L20">
        <f>JERARQUIA.EQV(G20,$G$2:$G$37,1)</f>
        <v>0</v>
      </c>
      <c r="M20">
        <f>JERARQUIA.EQV(H20,$H$2:$H$37,1)</f>
        <v>0</v>
      </c>
      <c r="N20">
        <f>PROMEDIO(J20,K20,L20,M20)</f>
        <v>0</v>
      </c>
      <c r="O20">
        <f>SI(N20=MIN($N$2:$N$37),"Yes","")</f>
        <v>0</v>
      </c>
      <c r="P20">
        <f>SI(N20=MIN.SI.CONJUNTO($N$2:$N$37,$A$2:$A$37,A20),"Yes","")</f>
        <v>0</v>
      </c>
    </row>
    <row r="21" spans="1:16">
      <c r="A21" t="s">
        <v>15</v>
      </c>
      <c r="B21">
        <v>0.5</v>
      </c>
      <c r="C21">
        <v>0.5</v>
      </c>
      <c r="D21">
        <v>30</v>
      </c>
      <c r="E21">
        <f>PROMEDIO.SI.CONJUNTO('Raw Data'!$N:$N,'Raw Data'!$B:$B,"gemini-2.0-flash-lite",'Raw Data'!$C:$C,"0.5",'Raw Data'!$D:$D,"0.5",'Raw Data'!$E:$E,"30")</f>
        <v>0</v>
      </c>
      <c r="F21">
        <f>PROMEDIO.SI.CONJUNTO('Raw Data'!$J:$J,'Raw Data'!$B:$B,"gemini-2.0-flash-lite",'Raw Data'!$C:$C,"0.5",'Raw Data'!$D:$D,"0.5",'Raw Data'!$E:$E,"30")</f>
        <v>0</v>
      </c>
      <c r="G21">
        <f>PROMEDIO.SI.CONJUNTO('Raw Data'!$K:$K,'Raw Data'!$B:$B,"gemini-2.0-flash-lite",'Raw Data'!$C:$C,"0.5",'Raw Data'!$D:$D,"0.5",'Raw Data'!$E:$E,"30")</f>
        <v>0</v>
      </c>
      <c r="H21">
        <f>PROMEDIO.SI.CONJUNTO('Raw Data'!$O:$O,'Raw Data'!$B:$B,"gemini-2.0-flash-lite",'Raw Data'!$C:$C,"0.5",'Raw Data'!$D:$D,"0.5",'Raw Data'!$E:$E,"30")</f>
        <v>0</v>
      </c>
      <c r="I21">
        <f>A21 &amp; " (T:" &amp; B21 &amp; ", p:" &amp; C21 &amp; ", k:" &amp; D21 &amp; ")"</f>
        <v>0</v>
      </c>
      <c r="J21">
        <f>JERARQUIA.EQV(E21,$E$2:$E$37,0)</f>
        <v>0</v>
      </c>
      <c r="K21">
        <f>JERARQUIA.EQV(F21,$F$2:$F$37,1)</f>
        <v>0</v>
      </c>
      <c r="L21">
        <f>JERARQUIA.EQV(G21,$G$2:$G$37,1)</f>
        <v>0</v>
      </c>
      <c r="M21">
        <f>JERARQUIA.EQV(H21,$H$2:$H$37,1)</f>
        <v>0</v>
      </c>
      <c r="N21">
        <f>PROMEDIO(J21,K21,L21,M21)</f>
        <v>0</v>
      </c>
      <c r="O21">
        <f>SI(N21=MIN($N$2:$N$37),"Yes","")</f>
        <v>0</v>
      </c>
      <c r="P21">
        <f>SI(N21=MIN.SI.CONJUNTO($N$2:$N$37,$A$2:$A$37,A21),"Yes","")</f>
        <v>0</v>
      </c>
    </row>
    <row r="22" spans="1:16">
      <c r="A22" t="s">
        <v>15</v>
      </c>
      <c r="B22">
        <v>0.5</v>
      </c>
      <c r="C22">
        <v>0.1</v>
      </c>
      <c r="D22">
        <v>10</v>
      </c>
      <c r="E22">
        <f>PROMEDIO.SI.CONJUNTO('Raw Data'!$N:$N,'Raw Data'!$B:$B,"gemini-2.0-flash-lite",'Raw Data'!$C:$C,"0.5",'Raw Data'!$D:$D,"0.1",'Raw Data'!$E:$E,"10")</f>
        <v>0</v>
      </c>
      <c r="F22">
        <f>PROMEDIO.SI.CONJUNTO('Raw Data'!$J:$J,'Raw Data'!$B:$B,"gemini-2.0-flash-lite",'Raw Data'!$C:$C,"0.5",'Raw Data'!$D:$D,"0.1",'Raw Data'!$E:$E,"10")</f>
        <v>0</v>
      </c>
      <c r="G22">
        <f>PROMEDIO.SI.CONJUNTO('Raw Data'!$K:$K,'Raw Data'!$B:$B,"gemini-2.0-flash-lite",'Raw Data'!$C:$C,"0.5",'Raw Data'!$D:$D,"0.1",'Raw Data'!$E:$E,"10")</f>
        <v>0</v>
      </c>
      <c r="H22">
        <f>PROMEDIO.SI.CONJUNTO('Raw Data'!$O:$O,'Raw Data'!$B:$B,"gemini-2.0-flash-lite",'Raw Data'!$C:$C,"0.5",'Raw Data'!$D:$D,"0.1",'Raw Data'!$E:$E,"10")</f>
        <v>0</v>
      </c>
      <c r="I22">
        <f>A22 &amp; " (T:" &amp; B22 &amp; ", p:" &amp; C22 &amp; ", k:" &amp; D22 &amp; ")"</f>
        <v>0</v>
      </c>
      <c r="J22">
        <f>JERARQUIA.EQV(E22,$E$2:$E$37,0)</f>
        <v>0</v>
      </c>
      <c r="K22">
        <f>JERARQUIA.EQV(F22,$F$2:$F$37,1)</f>
        <v>0</v>
      </c>
      <c r="L22">
        <f>JERARQUIA.EQV(G22,$G$2:$G$37,1)</f>
        <v>0</v>
      </c>
      <c r="M22">
        <f>JERARQUIA.EQV(H22,$H$2:$H$37,1)</f>
        <v>0</v>
      </c>
      <c r="N22">
        <f>PROMEDIO(J22,K22,L22,M22)</f>
        <v>0</v>
      </c>
      <c r="O22">
        <f>SI(N22=MIN($N$2:$N$37),"Yes","")</f>
        <v>0</v>
      </c>
      <c r="P22">
        <f>SI(N22=MIN.SI.CONJUNTO($N$2:$N$37,$A$2:$A$37,A22),"Yes","")</f>
        <v>0</v>
      </c>
    </row>
    <row r="23" spans="1:16">
      <c r="A23" t="s">
        <v>15</v>
      </c>
      <c r="B23">
        <v>0</v>
      </c>
      <c r="C23">
        <v>0.95</v>
      </c>
      <c r="D23">
        <v>100</v>
      </c>
      <c r="E23">
        <f>PROMEDIO.SI.CONJUNTO('Raw Data'!$N:$N,'Raw Data'!$B:$B,"gemini-2.0-flash-lite",'Raw Data'!$C:$C,"0.0",'Raw Data'!$D:$D,"0.95",'Raw Data'!$E:$E,"100")</f>
        <v>0</v>
      </c>
      <c r="F23">
        <f>PROMEDIO.SI.CONJUNTO('Raw Data'!$J:$J,'Raw Data'!$B:$B,"gemini-2.0-flash-lite",'Raw Data'!$C:$C,"0.0",'Raw Data'!$D:$D,"0.95",'Raw Data'!$E:$E,"100")</f>
        <v>0</v>
      </c>
      <c r="G23">
        <f>PROMEDIO.SI.CONJUNTO('Raw Data'!$K:$K,'Raw Data'!$B:$B,"gemini-2.0-flash-lite",'Raw Data'!$C:$C,"0.0",'Raw Data'!$D:$D,"0.95",'Raw Data'!$E:$E,"100")</f>
        <v>0</v>
      </c>
      <c r="H23">
        <f>PROMEDIO.SI.CONJUNTO('Raw Data'!$O:$O,'Raw Data'!$B:$B,"gemini-2.0-flash-lite",'Raw Data'!$C:$C,"0.0",'Raw Data'!$D:$D,"0.95",'Raw Data'!$E:$E,"100")</f>
        <v>0</v>
      </c>
      <c r="I23">
        <f>A23 &amp; " (T:" &amp; B23 &amp; ", p:" &amp; C23 &amp; ", k:" &amp; D23 &amp; ")"</f>
        <v>0</v>
      </c>
      <c r="J23">
        <f>JERARQUIA.EQV(E23,$E$2:$E$37,0)</f>
        <v>0</v>
      </c>
      <c r="K23">
        <f>JERARQUIA.EQV(F23,$F$2:$F$37,1)</f>
        <v>0</v>
      </c>
      <c r="L23">
        <f>JERARQUIA.EQV(G23,$G$2:$G$37,1)</f>
        <v>0</v>
      </c>
      <c r="M23">
        <f>JERARQUIA.EQV(H23,$H$2:$H$37,1)</f>
        <v>0</v>
      </c>
      <c r="N23">
        <f>PROMEDIO(J23,K23,L23,M23)</f>
        <v>0</v>
      </c>
      <c r="O23">
        <f>SI(N23=MIN($N$2:$N$37),"Yes","")</f>
        <v>0</v>
      </c>
      <c r="P23">
        <f>SI(N23=MIN.SI.CONJUNTO($N$2:$N$37,$A$2:$A$37,A23),"Yes","")</f>
        <v>0</v>
      </c>
    </row>
    <row r="24" spans="1:16">
      <c r="A24" t="s">
        <v>15</v>
      </c>
      <c r="B24">
        <v>0</v>
      </c>
      <c r="C24">
        <v>0.5</v>
      </c>
      <c r="D24">
        <v>30</v>
      </c>
      <c r="E24">
        <f>PROMEDIO.SI.CONJUNTO('Raw Data'!$N:$N,'Raw Data'!$B:$B,"gemini-2.0-flash-lite",'Raw Data'!$C:$C,"0.0",'Raw Data'!$D:$D,"0.5",'Raw Data'!$E:$E,"30")</f>
        <v>0</v>
      </c>
      <c r="F24">
        <f>PROMEDIO.SI.CONJUNTO('Raw Data'!$J:$J,'Raw Data'!$B:$B,"gemini-2.0-flash-lite",'Raw Data'!$C:$C,"0.0",'Raw Data'!$D:$D,"0.5",'Raw Data'!$E:$E,"30")</f>
        <v>0</v>
      </c>
      <c r="G24">
        <f>PROMEDIO.SI.CONJUNTO('Raw Data'!$K:$K,'Raw Data'!$B:$B,"gemini-2.0-flash-lite",'Raw Data'!$C:$C,"0.0",'Raw Data'!$D:$D,"0.5",'Raw Data'!$E:$E,"30")</f>
        <v>0</v>
      </c>
      <c r="H24">
        <f>PROMEDIO.SI.CONJUNTO('Raw Data'!$O:$O,'Raw Data'!$B:$B,"gemini-2.0-flash-lite",'Raw Data'!$C:$C,"0.0",'Raw Data'!$D:$D,"0.5",'Raw Data'!$E:$E,"30")</f>
        <v>0</v>
      </c>
      <c r="I24">
        <f>A24 &amp; " (T:" &amp; B24 &amp; ", p:" &amp; C24 &amp; ", k:" &amp; D24 &amp; ")"</f>
        <v>0</v>
      </c>
      <c r="J24">
        <f>JERARQUIA.EQV(E24,$E$2:$E$37,0)</f>
        <v>0</v>
      </c>
      <c r="K24">
        <f>JERARQUIA.EQV(F24,$F$2:$F$37,1)</f>
        <v>0</v>
      </c>
      <c r="L24">
        <f>JERARQUIA.EQV(G24,$G$2:$G$37,1)</f>
        <v>0</v>
      </c>
      <c r="M24">
        <f>JERARQUIA.EQV(H24,$H$2:$H$37,1)</f>
        <v>0</v>
      </c>
      <c r="N24">
        <f>PROMEDIO(J24,K24,L24,M24)</f>
        <v>0</v>
      </c>
      <c r="O24">
        <f>SI(N24=MIN($N$2:$N$37),"Yes","")</f>
        <v>0</v>
      </c>
      <c r="P24">
        <f>SI(N24=MIN.SI.CONJUNTO($N$2:$N$37,$A$2:$A$37,A24),"Yes","")</f>
        <v>0</v>
      </c>
    </row>
    <row r="25" spans="1:16">
      <c r="A25" t="s">
        <v>15</v>
      </c>
      <c r="B25">
        <v>2</v>
      </c>
      <c r="C25">
        <v>0.95</v>
      </c>
      <c r="D25">
        <v>100</v>
      </c>
      <c r="E25">
        <f>PROMEDIO.SI.CONJUNTO('Raw Data'!$N:$N,'Raw Data'!$B:$B,"gemini-2.0-flash-lite",'Raw Data'!$C:$C,"2.0",'Raw Data'!$D:$D,"0.95",'Raw Data'!$E:$E,"100")</f>
        <v>0</v>
      </c>
      <c r="F25">
        <f>PROMEDIO.SI.CONJUNTO('Raw Data'!$J:$J,'Raw Data'!$B:$B,"gemini-2.0-flash-lite",'Raw Data'!$C:$C,"2.0",'Raw Data'!$D:$D,"0.95",'Raw Data'!$E:$E,"100")</f>
        <v>0</v>
      </c>
      <c r="G25">
        <f>PROMEDIO.SI.CONJUNTO('Raw Data'!$K:$K,'Raw Data'!$B:$B,"gemini-2.0-flash-lite",'Raw Data'!$C:$C,"2.0",'Raw Data'!$D:$D,"0.95",'Raw Data'!$E:$E,"100")</f>
        <v>0</v>
      </c>
      <c r="H25">
        <f>PROMEDIO.SI.CONJUNTO('Raw Data'!$O:$O,'Raw Data'!$B:$B,"gemini-2.0-flash-lite",'Raw Data'!$C:$C,"2.0",'Raw Data'!$D:$D,"0.95",'Raw Data'!$E:$E,"100")</f>
        <v>0</v>
      </c>
      <c r="I25">
        <f>A25 &amp; " (T:" &amp; B25 &amp; ", p:" &amp; C25 &amp; ", k:" &amp; D25 &amp; ")"</f>
        <v>0</v>
      </c>
      <c r="J25">
        <f>JERARQUIA.EQV(E25,$E$2:$E$37,0)</f>
        <v>0</v>
      </c>
      <c r="K25">
        <f>JERARQUIA.EQV(F25,$F$2:$F$37,1)</f>
        <v>0</v>
      </c>
      <c r="L25">
        <f>JERARQUIA.EQV(G25,$G$2:$G$37,1)</f>
        <v>0</v>
      </c>
      <c r="M25">
        <f>JERARQUIA.EQV(H25,$H$2:$H$37,1)</f>
        <v>0</v>
      </c>
      <c r="N25">
        <f>PROMEDIO(J25,K25,L25,M25)</f>
        <v>0</v>
      </c>
      <c r="O25">
        <f>SI(N25=MIN($N$2:$N$37),"Yes","")</f>
        <v>0</v>
      </c>
      <c r="P25">
        <f>SI(N25=MIN.SI.CONJUNTO($N$2:$N$37,$A$2:$A$37,A25),"Yes","")</f>
        <v>0</v>
      </c>
    </row>
    <row r="26" spans="1:16">
      <c r="A26" t="s">
        <v>151</v>
      </c>
      <c r="B26">
        <v>2</v>
      </c>
      <c r="C26">
        <v>0.1</v>
      </c>
      <c r="D26">
        <v>10</v>
      </c>
      <c r="E26">
        <f>PROMEDIO.SI.CONJUNTO('Raw Data'!$N:$N,'Raw Data'!$B:$B,"gemini-2.0-pro-exp-02-05",'Raw Data'!$C:$C,"2.0",'Raw Data'!$D:$D,"0.1",'Raw Data'!$E:$E,"10")</f>
        <v>0</v>
      </c>
      <c r="F26">
        <f>PROMEDIO.SI.CONJUNTO('Raw Data'!$J:$J,'Raw Data'!$B:$B,"gemini-2.0-pro-exp-02-05",'Raw Data'!$C:$C,"2.0",'Raw Data'!$D:$D,"0.1",'Raw Data'!$E:$E,"10")</f>
        <v>0</v>
      </c>
      <c r="G26">
        <f>PROMEDIO.SI.CONJUNTO('Raw Data'!$K:$K,'Raw Data'!$B:$B,"gemini-2.0-pro-exp-02-05",'Raw Data'!$C:$C,"2.0",'Raw Data'!$D:$D,"0.1",'Raw Data'!$E:$E,"10")</f>
        <v>0</v>
      </c>
      <c r="H26">
        <f>PROMEDIO.SI.CONJUNTO('Raw Data'!$O:$O,'Raw Data'!$B:$B,"gemini-2.0-pro-exp-02-05",'Raw Data'!$C:$C,"2.0",'Raw Data'!$D:$D,"0.1",'Raw Data'!$E:$E,"10")</f>
        <v>0</v>
      </c>
      <c r="I26">
        <f>A26 &amp; " (T:" &amp; B26 &amp; ", p:" &amp; C26 &amp; ", k:" &amp; D26 &amp; ")"</f>
        <v>0</v>
      </c>
      <c r="J26">
        <f>JERARQUIA.EQV(E26,$E$2:$E$37,0)</f>
        <v>0</v>
      </c>
      <c r="K26">
        <f>JERARQUIA.EQV(F26,$F$2:$F$37,1)</f>
        <v>0</v>
      </c>
      <c r="L26">
        <f>JERARQUIA.EQV(G26,$G$2:$G$37,1)</f>
        <v>0</v>
      </c>
      <c r="M26">
        <f>JERARQUIA.EQV(H26,$H$2:$H$37,1)</f>
        <v>0</v>
      </c>
      <c r="N26">
        <f>PROMEDIO(J26,K26,L26,M26)</f>
        <v>0</v>
      </c>
      <c r="O26">
        <f>SI(N26=MIN($N$2:$N$37),"Yes","")</f>
        <v>0</v>
      </c>
      <c r="P26">
        <f>SI(N26=MIN.SI.CONJUNTO($N$2:$N$37,$A$2:$A$37,A26),"Yes","")</f>
        <v>0</v>
      </c>
    </row>
    <row r="27" spans="1:16">
      <c r="A27" t="s">
        <v>151</v>
      </c>
      <c r="B27">
        <v>1</v>
      </c>
      <c r="C27">
        <v>0.95</v>
      </c>
      <c r="D27">
        <v>100</v>
      </c>
      <c r="E27">
        <f>PROMEDIO.SI.CONJUNTO('Raw Data'!$N:$N,'Raw Data'!$B:$B,"gemini-2.0-pro-exp-02-05",'Raw Data'!$C:$C,"1.0",'Raw Data'!$D:$D,"0.95",'Raw Data'!$E:$E,"100")</f>
        <v>0</v>
      </c>
      <c r="F27">
        <f>PROMEDIO.SI.CONJUNTO('Raw Data'!$J:$J,'Raw Data'!$B:$B,"gemini-2.0-pro-exp-02-05",'Raw Data'!$C:$C,"1.0",'Raw Data'!$D:$D,"0.95",'Raw Data'!$E:$E,"100")</f>
        <v>0</v>
      </c>
      <c r="G27">
        <f>PROMEDIO.SI.CONJUNTO('Raw Data'!$K:$K,'Raw Data'!$B:$B,"gemini-2.0-pro-exp-02-05",'Raw Data'!$C:$C,"1.0",'Raw Data'!$D:$D,"0.95",'Raw Data'!$E:$E,"100")</f>
        <v>0</v>
      </c>
      <c r="H27">
        <f>PROMEDIO.SI.CONJUNTO('Raw Data'!$O:$O,'Raw Data'!$B:$B,"gemini-2.0-pro-exp-02-05",'Raw Data'!$C:$C,"1.0",'Raw Data'!$D:$D,"0.95",'Raw Data'!$E:$E,"100")</f>
        <v>0</v>
      </c>
      <c r="I27">
        <f>A27 &amp; " (T:" &amp; B27 &amp; ", p:" &amp; C27 &amp; ", k:" &amp; D27 &amp; ")"</f>
        <v>0</v>
      </c>
      <c r="J27">
        <f>JERARQUIA.EQV(E27,$E$2:$E$37,0)</f>
        <v>0</v>
      </c>
      <c r="K27">
        <f>JERARQUIA.EQV(F27,$F$2:$F$37,1)</f>
        <v>0</v>
      </c>
      <c r="L27">
        <f>JERARQUIA.EQV(G27,$G$2:$G$37,1)</f>
        <v>0</v>
      </c>
      <c r="M27">
        <f>JERARQUIA.EQV(H27,$H$2:$H$37,1)</f>
        <v>0</v>
      </c>
      <c r="N27">
        <f>PROMEDIO(J27,K27,L27,M27)</f>
        <v>0</v>
      </c>
      <c r="O27">
        <f>SI(N27=MIN($N$2:$N$37),"Yes","")</f>
        <v>0</v>
      </c>
      <c r="P27">
        <f>SI(N27=MIN.SI.CONJUNTO($N$2:$N$37,$A$2:$A$37,A27),"Yes","")</f>
        <v>0</v>
      </c>
    </row>
    <row r="28" spans="1:16">
      <c r="A28" t="s">
        <v>151</v>
      </c>
      <c r="B28">
        <v>1</v>
      </c>
      <c r="C28">
        <v>0.5</v>
      </c>
      <c r="D28">
        <v>30</v>
      </c>
      <c r="E28">
        <f>PROMEDIO.SI.CONJUNTO('Raw Data'!$N:$N,'Raw Data'!$B:$B,"gemini-2.0-pro-exp-02-05",'Raw Data'!$C:$C,"1.0",'Raw Data'!$D:$D,"0.5",'Raw Data'!$E:$E,"30")</f>
        <v>0</v>
      </c>
      <c r="F28">
        <f>PROMEDIO.SI.CONJUNTO('Raw Data'!$J:$J,'Raw Data'!$B:$B,"gemini-2.0-pro-exp-02-05",'Raw Data'!$C:$C,"1.0",'Raw Data'!$D:$D,"0.5",'Raw Data'!$E:$E,"30")</f>
        <v>0</v>
      </c>
      <c r="G28">
        <f>PROMEDIO.SI.CONJUNTO('Raw Data'!$K:$K,'Raw Data'!$B:$B,"gemini-2.0-pro-exp-02-05",'Raw Data'!$C:$C,"1.0",'Raw Data'!$D:$D,"0.5",'Raw Data'!$E:$E,"30")</f>
        <v>0</v>
      </c>
      <c r="H28">
        <f>PROMEDIO.SI.CONJUNTO('Raw Data'!$O:$O,'Raw Data'!$B:$B,"gemini-2.0-pro-exp-02-05",'Raw Data'!$C:$C,"1.0",'Raw Data'!$D:$D,"0.5",'Raw Data'!$E:$E,"30")</f>
        <v>0</v>
      </c>
      <c r="I28">
        <f>A28 &amp; " (T:" &amp; B28 &amp; ", p:" &amp; C28 &amp; ", k:" &amp; D28 &amp; ")"</f>
        <v>0</v>
      </c>
      <c r="J28">
        <f>JERARQUIA.EQV(E28,$E$2:$E$37,0)</f>
        <v>0</v>
      </c>
      <c r="K28">
        <f>JERARQUIA.EQV(F28,$F$2:$F$37,1)</f>
        <v>0</v>
      </c>
      <c r="L28">
        <f>JERARQUIA.EQV(G28,$G$2:$G$37,1)</f>
        <v>0</v>
      </c>
      <c r="M28">
        <f>JERARQUIA.EQV(H28,$H$2:$H$37,1)</f>
        <v>0</v>
      </c>
      <c r="N28">
        <f>PROMEDIO(J28,K28,L28,M28)</f>
        <v>0</v>
      </c>
      <c r="O28">
        <f>SI(N28=MIN($N$2:$N$37),"Yes","")</f>
        <v>0</v>
      </c>
      <c r="P28">
        <f>SI(N28=MIN.SI.CONJUNTO($N$2:$N$37,$A$2:$A$37,A28),"Yes","")</f>
        <v>0</v>
      </c>
    </row>
    <row r="29" spans="1:16">
      <c r="A29" t="s">
        <v>151</v>
      </c>
      <c r="B29">
        <v>1</v>
      </c>
      <c r="C29">
        <v>0.1</v>
      </c>
      <c r="D29">
        <v>10</v>
      </c>
      <c r="E29">
        <f>PROMEDIO.SI.CONJUNTO('Raw Data'!$N:$N,'Raw Data'!$B:$B,"gemini-2.0-pro-exp-02-05",'Raw Data'!$C:$C,"1.0",'Raw Data'!$D:$D,"0.1",'Raw Data'!$E:$E,"10")</f>
        <v>0</v>
      </c>
      <c r="F29">
        <f>PROMEDIO.SI.CONJUNTO('Raw Data'!$J:$J,'Raw Data'!$B:$B,"gemini-2.0-pro-exp-02-05",'Raw Data'!$C:$C,"1.0",'Raw Data'!$D:$D,"0.1",'Raw Data'!$E:$E,"10")</f>
        <v>0</v>
      </c>
      <c r="G29">
        <f>PROMEDIO.SI.CONJUNTO('Raw Data'!$K:$K,'Raw Data'!$B:$B,"gemini-2.0-pro-exp-02-05",'Raw Data'!$C:$C,"1.0",'Raw Data'!$D:$D,"0.1",'Raw Data'!$E:$E,"10")</f>
        <v>0</v>
      </c>
      <c r="H29">
        <f>PROMEDIO.SI.CONJUNTO('Raw Data'!$O:$O,'Raw Data'!$B:$B,"gemini-2.0-pro-exp-02-05",'Raw Data'!$C:$C,"1.0",'Raw Data'!$D:$D,"0.1",'Raw Data'!$E:$E,"10")</f>
        <v>0</v>
      </c>
      <c r="I29">
        <f>A29 &amp; " (T:" &amp; B29 &amp; ", p:" &amp; C29 &amp; ", k:" &amp; D29 &amp; ")"</f>
        <v>0</v>
      </c>
      <c r="J29">
        <f>JERARQUIA.EQV(E29,$E$2:$E$37,0)</f>
        <v>0</v>
      </c>
      <c r="K29">
        <f>JERARQUIA.EQV(F29,$F$2:$F$37,1)</f>
        <v>0</v>
      </c>
      <c r="L29">
        <f>JERARQUIA.EQV(G29,$G$2:$G$37,1)</f>
        <v>0</v>
      </c>
      <c r="M29">
        <f>JERARQUIA.EQV(H29,$H$2:$H$37,1)</f>
        <v>0</v>
      </c>
      <c r="N29">
        <f>PROMEDIO(J29,K29,L29,M29)</f>
        <v>0</v>
      </c>
      <c r="O29">
        <f>SI(N29=MIN($N$2:$N$37),"Yes","")</f>
        <v>0</v>
      </c>
      <c r="P29">
        <f>SI(N29=MIN.SI.CONJUNTO($N$2:$N$37,$A$2:$A$37,A29),"Yes","")</f>
        <v>0</v>
      </c>
    </row>
    <row r="30" spans="1:16">
      <c r="A30" t="s">
        <v>151</v>
      </c>
      <c r="B30">
        <v>0.5</v>
      </c>
      <c r="C30">
        <v>0.95</v>
      </c>
      <c r="D30">
        <v>100</v>
      </c>
      <c r="E30">
        <f>PROMEDIO.SI.CONJUNTO('Raw Data'!$N:$N,'Raw Data'!$B:$B,"gemini-2.0-pro-exp-02-05",'Raw Data'!$C:$C,"0.5",'Raw Data'!$D:$D,"0.95",'Raw Data'!$E:$E,"100")</f>
        <v>0</v>
      </c>
      <c r="F30">
        <f>PROMEDIO.SI.CONJUNTO('Raw Data'!$J:$J,'Raw Data'!$B:$B,"gemini-2.0-pro-exp-02-05",'Raw Data'!$C:$C,"0.5",'Raw Data'!$D:$D,"0.95",'Raw Data'!$E:$E,"100")</f>
        <v>0</v>
      </c>
      <c r="G30">
        <f>PROMEDIO.SI.CONJUNTO('Raw Data'!$K:$K,'Raw Data'!$B:$B,"gemini-2.0-pro-exp-02-05",'Raw Data'!$C:$C,"0.5",'Raw Data'!$D:$D,"0.95",'Raw Data'!$E:$E,"100")</f>
        <v>0</v>
      </c>
      <c r="H30">
        <f>PROMEDIO.SI.CONJUNTO('Raw Data'!$O:$O,'Raw Data'!$B:$B,"gemini-2.0-pro-exp-02-05",'Raw Data'!$C:$C,"0.5",'Raw Data'!$D:$D,"0.95",'Raw Data'!$E:$E,"100")</f>
        <v>0</v>
      </c>
      <c r="I30">
        <f>A30 &amp; " (T:" &amp; B30 &amp; ", p:" &amp; C30 &amp; ", k:" &amp; D30 &amp; ")"</f>
        <v>0</v>
      </c>
      <c r="J30">
        <f>JERARQUIA.EQV(E30,$E$2:$E$37,0)</f>
        <v>0</v>
      </c>
      <c r="K30">
        <f>JERARQUIA.EQV(F30,$F$2:$F$37,1)</f>
        <v>0</v>
      </c>
      <c r="L30">
        <f>JERARQUIA.EQV(G30,$G$2:$G$37,1)</f>
        <v>0</v>
      </c>
      <c r="M30">
        <f>JERARQUIA.EQV(H30,$H$2:$H$37,1)</f>
        <v>0</v>
      </c>
      <c r="N30">
        <f>PROMEDIO(J30,K30,L30,M30)</f>
        <v>0</v>
      </c>
      <c r="O30">
        <f>SI(N30=MIN($N$2:$N$37),"Yes","")</f>
        <v>0</v>
      </c>
      <c r="P30">
        <f>SI(N30=MIN.SI.CONJUNTO($N$2:$N$37,$A$2:$A$37,A30),"Yes","")</f>
        <v>0</v>
      </c>
    </row>
    <row r="31" spans="1:16">
      <c r="A31" t="s">
        <v>151</v>
      </c>
      <c r="B31">
        <v>0</v>
      </c>
      <c r="C31">
        <v>0.1</v>
      </c>
      <c r="D31">
        <v>10</v>
      </c>
      <c r="E31">
        <f>PROMEDIO.SI.CONJUNTO('Raw Data'!$N:$N,'Raw Data'!$B:$B,"gemini-2.0-pro-exp-02-05",'Raw Data'!$C:$C,"0.0",'Raw Data'!$D:$D,"0.1",'Raw Data'!$E:$E,"10")</f>
        <v>0</v>
      </c>
      <c r="F31">
        <f>PROMEDIO.SI.CONJUNTO('Raw Data'!$J:$J,'Raw Data'!$B:$B,"gemini-2.0-pro-exp-02-05",'Raw Data'!$C:$C,"0.0",'Raw Data'!$D:$D,"0.1",'Raw Data'!$E:$E,"10")</f>
        <v>0</v>
      </c>
      <c r="G31">
        <f>PROMEDIO.SI.CONJUNTO('Raw Data'!$K:$K,'Raw Data'!$B:$B,"gemini-2.0-pro-exp-02-05",'Raw Data'!$C:$C,"0.0",'Raw Data'!$D:$D,"0.1",'Raw Data'!$E:$E,"10")</f>
        <v>0</v>
      </c>
      <c r="H31">
        <f>PROMEDIO.SI.CONJUNTO('Raw Data'!$O:$O,'Raw Data'!$B:$B,"gemini-2.0-pro-exp-02-05",'Raw Data'!$C:$C,"0.0",'Raw Data'!$D:$D,"0.1",'Raw Data'!$E:$E,"10")</f>
        <v>0</v>
      </c>
      <c r="I31">
        <f>A31 &amp; " (T:" &amp; B31 &amp; ", p:" &amp; C31 &amp; ", k:" &amp; D31 &amp; ")"</f>
        <v>0</v>
      </c>
      <c r="J31">
        <f>JERARQUIA.EQV(E31,$E$2:$E$37,0)</f>
        <v>0</v>
      </c>
      <c r="K31">
        <f>JERARQUIA.EQV(F31,$F$2:$F$37,1)</f>
        <v>0</v>
      </c>
      <c r="L31">
        <f>JERARQUIA.EQV(G31,$G$2:$G$37,1)</f>
        <v>0</v>
      </c>
      <c r="M31">
        <f>JERARQUIA.EQV(H31,$H$2:$H$37,1)</f>
        <v>0</v>
      </c>
      <c r="N31">
        <f>PROMEDIO(J31,K31,L31,M31)</f>
        <v>0</v>
      </c>
      <c r="O31">
        <f>SI(N31=MIN($N$2:$N$37),"Yes","")</f>
        <v>0</v>
      </c>
      <c r="P31">
        <f>SI(N31=MIN.SI.CONJUNTO($N$2:$N$37,$A$2:$A$37,A31),"Yes","")</f>
        <v>0</v>
      </c>
    </row>
    <row r="32" spans="1:16">
      <c r="A32" t="s">
        <v>151</v>
      </c>
      <c r="B32">
        <v>0.5</v>
      </c>
      <c r="C32">
        <v>0.1</v>
      </c>
      <c r="D32">
        <v>10</v>
      </c>
      <c r="E32">
        <f>PROMEDIO.SI.CONJUNTO('Raw Data'!$N:$N,'Raw Data'!$B:$B,"gemini-2.0-pro-exp-02-05",'Raw Data'!$C:$C,"0.5",'Raw Data'!$D:$D,"0.1",'Raw Data'!$E:$E,"10")</f>
        <v>0</v>
      </c>
      <c r="F32">
        <f>PROMEDIO.SI.CONJUNTO('Raw Data'!$J:$J,'Raw Data'!$B:$B,"gemini-2.0-pro-exp-02-05",'Raw Data'!$C:$C,"0.5",'Raw Data'!$D:$D,"0.1",'Raw Data'!$E:$E,"10")</f>
        <v>0</v>
      </c>
      <c r="G32">
        <f>PROMEDIO.SI.CONJUNTO('Raw Data'!$K:$K,'Raw Data'!$B:$B,"gemini-2.0-pro-exp-02-05",'Raw Data'!$C:$C,"0.5",'Raw Data'!$D:$D,"0.1",'Raw Data'!$E:$E,"10")</f>
        <v>0</v>
      </c>
      <c r="H32">
        <f>PROMEDIO.SI.CONJUNTO('Raw Data'!$O:$O,'Raw Data'!$B:$B,"gemini-2.0-pro-exp-02-05",'Raw Data'!$C:$C,"0.5",'Raw Data'!$D:$D,"0.1",'Raw Data'!$E:$E,"10")</f>
        <v>0</v>
      </c>
      <c r="I32">
        <f>A32 &amp; " (T:" &amp; B32 &amp; ", p:" &amp; C32 &amp; ", k:" &amp; D32 &amp; ")"</f>
        <v>0</v>
      </c>
      <c r="J32">
        <f>JERARQUIA.EQV(E32,$E$2:$E$37,0)</f>
        <v>0</v>
      </c>
      <c r="K32">
        <f>JERARQUIA.EQV(F32,$F$2:$F$37,1)</f>
        <v>0</v>
      </c>
      <c r="L32">
        <f>JERARQUIA.EQV(G32,$G$2:$G$37,1)</f>
        <v>0</v>
      </c>
      <c r="M32">
        <f>JERARQUIA.EQV(H32,$H$2:$H$37,1)</f>
        <v>0</v>
      </c>
      <c r="N32">
        <f>PROMEDIO(J32,K32,L32,M32)</f>
        <v>0</v>
      </c>
      <c r="O32">
        <f>SI(N32=MIN($N$2:$N$37),"Yes","")</f>
        <v>0</v>
      </c>
      <c r="P32">
        <f>SI(N32=MIN.SI.CONJUNTO($N$2:$N$37,$A$2:$A$37,A32),"Yes","")</f>
        <v>0</v>
      </c>
    </row>
    <row r="33" spans="1:16">
      <c r="A33" t="s">
        <v>151</v>
      </c>
      <c r="B33">
        <v>0</v>
      </c>
      <c r="C33">
        <v>0.95</v>
      </c>
      <c r="D33">
        <v>100</v>
      </c>
      <c r="E33">
        <f>PROMEDIO.SI.CONJUNTO('Raw Data'!$N:$N,'Raw Data'!$B:$B,"gemini-2.0-pro-exp-02-05",'Raw Data'!$C:$C,"0.0",'Raw Data'!$D:$D,"0.95",'Raw Data'!$E:$E,"100")</f>
        <v>0</v>
      </c>
      <c r="F33">
        <f>PROMEDIO.SI.CONJUNTO('Raw Data'!$J:$J,'Raw Data'!$B:$B,"gemini-2.0-pro-exp-02-05",'Raw Data'!$C:$C,"0.0",'Raw Data'!$D:$D,"0.95",'Raw Data'!$E:$E,"100")</f>
        <v>0</v>
      </c>
      <c r="G33">
        <f>PROMEDIO.SI.CONJUNTO('Raw Data'!$K:$K,'Raw Data'!$B:$B,"gemini-2.0-pro-exp-02-05",'Raw Data'!$C:$C,"0.0",'Raw Data'!$D:$D,"0.95",'Raw Data'!$E:$E,"100")</f>
        <v>0</v>
      </c>
      <c r="H33">
        <f>PROMEDIO.SI.CONJUNTO('Raw Data'!$O:$O,'Raw Data'!$B:$B,"gemini-2.0-pro-exp-02-05",'Raw Data'!$C:$C,"0.0",'Raw Data'!$D:$D,"0.95",'Raw Data'!$E:$E,"100")</f>
        <v>0</v>
      </c>
      <c r="I33">
        <f>A33 &amp; " (T:" &amp; B33 &amp; ", p:" &amp; C33 &amp; ", k:" &amp; D33 &amp; ")"</f>
        <v>0</v>
      </c>
      <c r="J33">
        <f>JERARQUIA.EQV(E33,$E$2:$E$37,0)</f>
        <v>0</v>
      </c>
      <c r="K33">
        <f>JERARQUIA.EQV(F33,$F$2:$F$37,1)</f>
        <v>0</v>
      </c>
      <c r="L33">
        <f>JERARQUIA.EQV(G33,$G$2:$G$37,1)</f>
        <v>0</v>
      </c>
      <c r="M33">
        <f>JERARQUIA.EQV(H33,$H$2:$H$37,1)</f>
        <v>0</v>
      </c>
      <c r="N33">
        <f>PROMEDIO(J33,K33,L33,M33)</f>
        <v>0</v>
      </c>
      <c r="O33">
        <f>SI(N33=MIN($N$2:$N$37),"Yes","")</f>
        <v>0</v>
      </c>
      <c r="P33">
        <f>SI(N33=MIN.SI.CONJUNTO($N$2:$N$37,$A$2:$A$37,A33),"Yes","")</f>
        <v>0</v>
      </c>
    </row>
    <row r="34" spans="1:16">
      <c r="A34" t="s">
        <v>151</v>
      </c>
      <c r="B34">
        <v>0</v>
      </c>
      <c r="C34">
        <v>0.5</v>
      </c>
      <c r="D34">
        <v>30</v>
      </c>
      <c r="E34">
        <f>PROMEDIO.SI.CONJUNTO('Raw Data'!$N:$N,'Raw Data'!$B:$B,"gemini-2.0-pro-exp-02-05",'Raw Data'!$C:$C,"0.0",'Raw Data'!$D:$D,"0.5",'Raw Data'!$E:$E,"30")</f>
        <v>0</v>
      </c>
      <c r="F34">
        <f>PROMEDIO.SI.CONJUNTO('Raw Data'!$J:$J,'Raw Data'!$B:$B,"gemini-2.0-pro-exp-02-05",'Raw Data'!$C:$C,"0.0",'Raw Data'!$D:$D,"0.5",'Raw Data'!$E:$E,"30")</f>
        <v>0</v>
      </c>
      <c r="G34">
        <f>PROMEDIO.SI.CONJUNTO('Raw Data'!$K:$K,'Raw Data'!$B:$B,"gemini-2.0-pro-exp-02-05",'Raw Data'!$C:$C,"0.0",'Raw Data'!$D:$D,"0.5",'Raw Data'!$E:$E,"30")</f>
        <v>0</v>
      </c>
      <c r="H34">
        <f>PROMEDIO.SI.CONJUNTO('Raw Data'!$O:$O,'Raw Data'!$B:$B,"gemini-2.0-pro-exp-02-05",'Raw Data'!$C:$C,"0.0",'Raw Data'!$D:$D,"0.5",'Raw Data'!$E:$E,"30")</f>
        <v>0</v>
      </c>
      <c r="I34">
        <f>A34 &amp; " (T:" &amp; B34 &amp; ", p:" &amp; C34 &amp; ", k:" &amp; D34 &amp; ")"</f>
        <v>0</v>
      </c>
      <c r="J34">
        <f>JERARQUIA.EQV(E34,$E$2:$E$37,0)</f>
        <v>0</v>
      </c>
      <c r="K34">
        <f>JERARQUIA.EQV(F34,$F$2:$F$37,1)</f>
        <v>0</v>
      </c>
      <c r="L34">
        <f>JERARQUIA.EQV(G34,$G$2:$G$37,1)</f>
        <v>0</v>
      </c>
      <c r="M34">
        <f>JERARQUIA.EQV(H34,$H$2:$H$37,1)</f>
        <v>0</v>
      </c>
      <c r="N34">
        <f>PROMEDIO(J34,K34,L34,M34)</f>
        <v>0</v>
      </c>
      <c r="O34">
        <f>SI(N34=MIN($N$2:$N$37),"Yes","")</f>
        <v>0</v>
      </c>
      <c r="P34">
        <f>SI(N34=MIN.SI.CONJUNTO($N$2:$N$37,$A$2:$A$37,A34),"Yes","")</f>
        <v>0</v>
      </c>
    </row>
    <row r="35" spans="1:16">
      <c r="A35" t="s">
        <v>151</v>
      </c>
      <c r="B35">
        <v>2</v>
      </c>
      <c r="C35">
        <v>0.5</v>
      </c>
      <c r="D35">
        <v>30</v>
      </c>
      <c r="E35">
        <f>PROMEDIO.SI.CONJUNTO('Raw Data'!$N:$N,'Raw Data'!$B:$B,"gemini-2.0-pro-exp-02-05",'Raw Data'!$C:$C,"2.0",'Raw Data'!$D:$D,"0.5",'Raw Data'!$E:$E,"30")</f>
        <v>0</v>
      </c>
      <c r="F35">
        <f>PROMEDIO.SI.CONJUNTO('Raw Data'!$J:$J,'Raw Data'!$B:$B,"gemini-2.0-pro-exp-02-05",'Raw Data'!$C:$C,"2.0",'Raw Data'!$D:$D,"0.5",'Raw Data'!$E:$E,"30")</f>
        <v>0</v>
      </c>
      <c r="G35">
        <f>PROMEDIO.SI.CONJUNTO('Raw Data'!$K:$K,'Raw Data'!$B:$B,"gemini-2.0-pro-exp-02-05",'Raw Data'!$C:$C,"2.0",'Raw Data'!$D:$D,"0.5",'Raw Data'!$E:$E,"30")</f>
        <v>0</v>
      </c>
      <c r="H35">
        <f>PROMEDIO.SI.CONJUNTO('Raw Data'!$O:$O,'Raw Data'!$B:$B,"gemini-2.0-pro-exp-02-05",'Raw Data'!$C:$C,"2.0",'Raw Data'!$D:$D,"0.5",'Raw Data'!$E:$E,"30")</f>
        <v>0</v>
      </c>
      <c r="I35">
        <f>A35 &amp; " (T:" &amp; B35 &amp; ", p:" &amp; C35 &amp; ", k:" &amp; D35 &amp; ")"</f>
        <v>0</v>
      </c>
      <c r="J35">
        <f>JERARQUIA.EQV(E35,$E$2:$E$37,0)</f>
        <v>0</v>
      </c>
      <c r="K35">
        <f>JERARQUIA.EQV(F35,$F$2:$F$37,1)</f>
        <v>0</v>
      </c>
      <c r="L35">
        <f>JERARQUIA.EQV(G35,$G$2:$G$37,1)</f>
        <v>0</v>
      </c>
      <c r="M35">
        <f>JERARQUIA.EQV(H35,$H$2:$H$37,1)</f>
        <v>0</v>
      </c>
      <c r="N35">
        <f>PROMEDIO(J35,K35,L35,M35)</f>
        <v>0</v>
      </c>
      <c r="O35">
        <f>SI(N35=MIN($N$2:$N$37),"Yes","")</f>
        <v>0</v>
      </c>
      <c r="P35">
        <f>SI(N35=MIN.SI.CONJUNTO($N$2:$N$37,$A$2:$A$37,A35),"Yes","")</f>
        <v>0</v>
      </c>
    </row>
    <row r="36" spans="1:16">
      <c r="A36" t="s">
        <v>151</v>
      </c>
      <c r="B36">
        <v>0.5</v>
      </c>
      <c r="C36">
        <v>0.5</v>
      </c>
      <c r="D36">
        <v>30</v>
      </c>
      <c r="E36">
        <f>PROMEDIO.SI.CONJUNTO('Raw Data'!$N:$N,'Raw Data'!$B:$B,"gemini-2.0-pro-exp-02-05",'Raw Data'!$C:$C,"0.5",'Raw Data'!$D:$D,"0.5",'Raw Data'!$E:$E,"30")</f>
        <v>0</v>
      </c>
      <c r="F36">
        <f>PROMEDIO.SI.CONJUNTO('Raw Data'!$J:$J,'Raw Data'!$B:$B,"gemini-2.0-pro-exp-02-05",'Raw Data'!$C:$C,"0.5",'Raw Data'!$D:$D,"0.5",'Raw Data'!$E:$E,"30")</f>
        <v>0</v>
      </c>
      <c r="G36">
        <f>PROMEDIO.SI.CONJUNTO('Raw Data'!$K:$K,'Raw Data'!$B:$B,"gemini-2.0-pro-exp-02-05",'Raw Data'!$C:$C,"0.5",'Raw Data'!$D:$D,"0.5",'Raw Data'!$E:$E,"30")</f>
        <v>0</v>
      </c>
      <c r="H36">
        <f>PROMEDIO.SI.CONJUNTO('Raw Data'!$O:$O,'Raw Data'!$B:$B,"gemini-2.0-pro-exp-02-05",'Raw Data'!$C:$C,"0.5",'Raw Data'!$D:$D,"0.5",'Raw Data'!$E:$E,"30")</f>
        <v>0</v>
      </c>
      <c r="I36">
        <f>A36 &amp; " (T:" &amp; B36 &amp; ", p:" &amp; C36 &amp; ", k:" &amp; D36 &amp; ")"</f>
        <v>0</v>
      </c>
      <c r="J36">
        <f>JERARQUIA.EQV(E36,$E$2:$E$37,0)</f>
        <v>0</v>
      </c>
      <c r="K36">
        <f>JERARQUIA.EQV(F36,$F$2:$F$37,1)</f>
        <v>0</v>
      </c>
      <c r="L36">
        <f>JERARQUIA.EQV(G36,$G$2:$G$37,1)</f>
        <v>0</v>
      </c>
      <c r="M36">
        <f>JERARQUIA.EQV(H36,$H$2:$H$37,1)</f>
        <v>0</v>
      </c>
      <c r="N36">
        <f>PROMEDIO(J36,K36,L36,M36)</f>
        <v>0</v>
      </c>
      <c r="O36">
        <f>SI(N36=MIN($N$2:$N$37),"Yes","")</f>
        <v>0</v>
      </c>
      <c r="P36">
        <f>SI(N36=MIN.SI.CONJUNTO($N$2:$N$37,$A$2:$A$37,A36),"Yes","")</f>
        <v>0</v>
      </c>
    </row>
    <row r="37" spans="1:16">
      <c r="A37" t="s">
        <v>151</v>
      </c>
      <c r="B37">
        <v>2</v>
      </c>
      <c r="C37">
        <v>0.95</v>
      </c>
      <c r="D37">
        <v>100</v>
      </c>
      <c r="E37">
        <f>PROMEDIO.SI.CONJUNTO('Raw Data'!$N:$N,'Raw Data'!$B:$B,"gemini-2.0-pro-exp-02-05",'Raw Data'!$C:$C,"2.0",'Raw Data'!$D:$D,"0.95",'Raw Data'!$E:$E,"100")</f>
        <v>0</v>
      </c>
      <c r="F37">
        <f>PROMEDIO.SI.CONJUNTO('Raw Data'!$J:$J,'Raw Data'!$B:$B,"gemini-2.0-pro-exp-02-05",'Raw Data'!$C:$C,"2.0",'Raw Data'!$D:$D,"0.95",'Raw Data'!$E:$E,"100")</f>
        <v>0</v>
      </c>
      <c r="G37">
        <f>PROMEDIO.SI.CONJUNTO('Raw Data'!$K:$K,'Raw Data'!$B:$B,"gemini-2.0-pro-exp-02-05",'Raw Data'!$C:$C,"2.0",'Raw Data'!$D:$D,"0.95",'Raw Data'!$E:$E,"100")</f>
        <v>0</v>
      </c>
      <c r="H37">
        <f>PROMEDIO.SI.CONJUNTO('Raw Data'!$O:$O,'Raw Data'!$B:$B,"gemini-2.0-pro-exp-02-05",'Raw Data'!$C:$C,"2.0",'Raw Data'!$D:$D,"0.95",'Raw Data'!$E:$E,"100")</f>
        <v>0</v>
      </c>
      <c r="I37">
        <f>A37 &amp; " (T:" &amp; B37 &amp; ", p:" &amp; C37 &amp; ", k:" &amp; D37 &amp; ")"</f>
        <v>0</v>
      </c>
      <c r="J37">
        <f>JERARQUIA.EQV(E37,$E$2:$E$37,0)</f>
        <v>0</v>
      </c>
      <c r="K37">
        <f>JERARQUIA.EQV(F37,$F$2:$F$37,1)</f>
        <v>0</v>
      </c>
      <c r="L37">
        <f>JERARQUIA.EQV(G37,$G$2:$G$37,1)</f>
        <v>0</v>
      </c>
      <c r="M37">
        <f>JERARQUIA.EQV(H37,$H$2:$H$37,1)</f>
        <v>0</v>
      </c>
      <c r="N37">
        <f>PROMEDIO(J37,K37,L37,M37)</f>
        <v>0</v>
      </c>
      <c r="O37">
        <f>SI(N37=MIN($N$2:$N$37),"Yes","")</f>
        <v>0</v>
      </c>
      <c r="P37">
        <f>SI(N37=MIN.SI.CONJUNTO($N$2:$N$37,$A$2:$A$37,A37),"Yes","")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0.7109375" customWidth="1"/>
  </cols>
  <sheetData>
    <row r="1" spans="1:1">
      <c r="A1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Comparisons</vt:lpstr>
      <vt:lpstr>Explanation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2025-03-20T19:31:26Z</dcterms:created>
  <dcterms:modified xsi:type="dcterms:W3CDTF">2025-03-20T19:31:26Z</dcterms:modified>
</cp:coreProperties>
</file>