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aw Data" sheetId="1" r:id="rId1"/>
    <sheet name="Comparisons" sheetId="2" r:id="rId2"/>
    <sheet name="Explanation" sheetId="3" r:id="rId3"/>
    <sheet name="Charts" sheetId="4" r:id="rId4"/>
  </sheets>
  <calcPr calcId="124519" fullCalcOnLoad="1"/>
</workbook>
</file>

<file path=xl/sharedStrings.xml><?xml version="1.0" encoding="utf-8"?>
<sst xmlns="http://schemas.openxmlformats.org/spreadsheetml/2006/main" count="782" uniqueCount="235">
  <si>
    <t>ID</t>
  </si>
  <si>
    <t>model</t>
  </si>
  <si>
    <t>temperature</t>
  </si>
  <si>
    <t>top_p</t>
  </si>
  <si>
    <t>top_k</t>
  </si>
  <si>
    <t>code</t>
  </si>
  <si>
    <t>result</t>
  </si>
  <si>
    <t>true_count</t>
  </si>
  <si>
    <t>false_count</t>
  </si>
  <si>
    <t>execution_time</t>
  </si>
  <si>
    <t>memory_usage_MB</t>
  </si>
  <si>
    <t>algorithmic_complexity</t>
  </si>
  <si>
    <t>Total Tests</t>
  </si>
  <si>
    <t>Accuracy</t>
  </si>
  <si>
    <t>gemini-2.0-flash-lite</t>
  </si>
  <si>
    <t>class ListNode:
    def __init__(self, val=0, next=None):
        self.val = val
        self.next = next
def addTwoNumbers(l1: ListNode, l2: ListNode) -&gt; ListNode:
    """
    Adds two numbers represented as linked lists.
    Args:
        l1: The first linked list.
        l2: The second linked list.
    Returns:
        The sum as a linked list.
    """
    dummy_head = ListNode(0)
    current = dummy_head
    carry = 0
    while l1 or l2 or carry:
        sum_val = carry
        if l1:
            sum_val += l1.val
            l1 = l1.next
        if l2:
            sum_val += l2.val
            l2 = l2.next
        carry = sum_val // 10
        current.next = ListNode(sum_val % 10)
        current = current.next
    return dummy_head.next
def list_to_linked_list(lst):
    """Converts a list to a linked list."""
    dummy_head = ListNode(0)
    current = dummy_head
    for val in lst:
        current.next = ListNode(val)
        current = current.next
    return dummy_head.next
def linked_list_to_list(head):
    """Converts a linked list to a list."""
    result = []
    current = head
    while current:
        result.append(current.val)
        current = current.next
    return result
def test_add_two_numbers():
    """Tests the addTwoNumbers function."""
    tests = [
        ([2, 4, 3], [5, 6, 4], [7, 0, 8]),
        ([0], [0], [0]),
        ([9, 9, 9, 9, 9, 9, 9], [9, 9, 9, 9], [8, 9, 9, 9, 0, 0, 0, 1]),
        ([1, 2, 3], [4, 5, 6], [5, 7, 9]),
        ([1], [9, 9], [0, 0, 1])
    ]
    correct_tests = 0
    for i, (l1_list, l2_list, expected_list) in enumerate(tests):
        l1 = list_to_linked_list(l1_list)
        l2 = list_to_linked_list(l2_list)
        result_linked_list = addTwoNumbers(l1, l2)
        result_list = linked_list_to_list(result_linked_list)
        if result_list == expected_list:
            print(True)
            correct_tests += 1
        else:
            print(False)
    print(f"{correct_tests}/{len(tests)}")
if __name__ == '__main__':
    test_add_two_numbers()</t>
  </si>
  <si>
    <t>True_x000D_
True_x000D_
True_x000D_
True_x000D_
True_x000D_
5/5</t>
  </si>
  <si>
    <t>loops: 4, conditionals: 4</t>
  </si>
  <si>
    <t>def lengthOfLongestSubstring(s: str) -&gt; int:
    """
    Finds the length of the longest substring without repeating characters.
    Args:
        s: The input string.
    Returns:
        The length of the longest substring without repeating characters.
    """
    if not s:
        return 0
    max_length = 0
    start = 0
    char_index_map = {}  # Store the index of each character
    for end, char in enumerate(s):
        if char in char_index_map and char_index_map[char] &gt;= start:
            # Repeating character found within the current window
            start = char_index_map[char] + 1
        char_index_map[char] = end
        max_length = max(max_length, end - start + 1)
    return max_length
def test_length_of_longest_substring():
    """Tests the lengthOfLongestSubstring function."""
    tests = [
        ("abcabcbb", 3),
        ("bbbbb", 1),
        ("pwwkew", 3),
        ("", 0),
        (" ", 1),
        ("au", 2),
        ("dvdf", 3),
        ("tmmzuxt", 5)
    ]
    correct_tests = 0
    for s, expected_length in tests:
        result = lengthOfLongestSubstring(s)
        if result == expected_length:
            print(True)
            correct_tests += 1
        else:
            print(False)
    print(f"{correct_tests}/{len(tests)}")
if __name__ == '__main__':
    test_length_of_longest_substring()</t>
  </si>
  <si>
    <t>True_x000D_
True_x000D_
True_x000D_
True_x000D_
True_x000D_
True_x000D_
True_x000D_
True_x000D_
8/8</t>
  </si>
  <si>
    <t>loops: 2, conditionals: 4</t>
  </si>
  <si>
    <t>def findMedianSortedArrays(nums1: list[int], nums2: list[int]) -&gt; float:
    """
    Finds the median of two sorted arrays.
    Args:
        nums1: The first sorted array.
        nums2: The second sorted array.
    Returns:
        The median of the two sorted arrays.
    """
    merged_array = sorted(nums1 + nums2)
    merged_length = len(merged_array)
    if merged_length == 0:
        return 0.0
    if merged_length % 2 == 0:
        # Even length, median is the average of the middle two elements
        mid1 = merged_array[merged_length // 2 - 1]
        mid2 = merged_array[merged_length // 2]
        return (mid1 + mid2) / 2.0
    else:
        # Odd length, median is the middle element
        return float(merged_array[merged_length // 2])
def test_find_median_sorted_arrays():
    """Tests the findMedianSortedArrays function."""
    tests = [
        ([1, 3], [2], 2.0),
        ([1, 2], [3, 4], 2.5),
        ([0, 0], [0, 0], 0.0),
        ([], [1], 1.0),
        ([2], [], 2.0),
        ([1, 2, 3], [4, 5, 6], 3.5),
        ([4, 5, 6], [1, 2, 3], 3.5),
        ([1, 3], [2, 7], 3.0),
        ([1, 2, 3], [2, 4, 6], 2.5)
    ]
    correct_tests = 0
    for nums1, nums2, expected_median in tests:
        result = findMedianSortedArrays(nums1, nums2)
        if abs(result - expected_median) &lt; 1e-5:  # Use a small tolerance for floating-point comparisons
            print(True)
            correct_tests += 1
        else:
            print(False)
    print(f"{correct_tests}/{len(tests)}")
if __name__ == '__main__':
    test_find_median_sorted_arrays()</t>
  </si>
  <si>
    <t>True_x000D_
True_x000D_
True_x000D_
True_x000D_
True_x000D_
True_x000D_
True_x000D_
False_x000D_
True_x000D_
8/9</t>
  </si>
  <si>
    <t>loops: 1, conditionals: 4</t>
  </si>
  <si>
    <t>def isMatch(s: str, p: str) -&gt; bool:
    """
    Implements regular expression matching with support for '.' and '*'.
    Args:
        s: The input string.
        p: The pattern.
    Returns:
        True if the pattern matches the entire input string, False otherwise.
    """
    s_len = len(s)
    p_len = len(p)
    # dp[i][j] represents whether s[:i] matches p[:j]
    dp = [[False] * (p_len + 1) for _ in range(s_len + 1)]
    # Base case: empty string matches empty pattern
    dp[0][0] = True
    # Handle patterns like a*, a*b*, a*b*c*
    for j in range(1, p_len + 1):
        if p[j - 1] == '*':
            dp[0][j] = dp[0][j - 2]  # '*' matches zero occurrences of the preceding character
    # Fill the dp table
    for i in range(1, s_len + 1):
        for j in range(1, p_len + 1):
            if p[j - 1] == '.' or p[j - 1] == s[i - 1]:
                # Current characters match
                dp[i][j] = dp[i - 1][j - 1]
            elif p[j - 1] == '*':
                # '*' case
                dp[i][j] = dp[i][j - 2]  # '*' matches zero occurrences of the preceding character
                if p[j - 2] == '.' or p[j - 2] == s[i - 1]:
                    dp[i][j] = dp[i][j] or dp[i - 1][j]  # '*' matches one or more occurrences
            else:
                # Characters don't match
                dp[i][j] = False
    return dp[s_len][p_len]
def test_isMatch():
    """Tests the isMatch function."""
    tests = [
        ("aa", "a", False),
        ("aa", "a*", True),
        ("ab", ".*", True),
        ("aab", "c*a*b", True),
        ("mississippi", "mis*is*p*.", False),
        ("a", "ab*", True),
        ("abc", ".*", True),
        ("abc", "a.c", True),
        ("abc", "a.d", False),
        ("aaa", "a*a", True),
        ("aaa", "ab*a*c*a", True),
        ("a", ".*..", False),
        ("ab", ".*c", False),
        ("aaaaaaaaaaaaab", "a*a*a*a*a*a*a*a*a*a*c", False)
    ]
    correct_tests = 0
    for s, p, expected in tests:
        result = isMatch(s, p)
        if result == expected:
            print(True)
            correct_tests += 1
        else:
            print(False)
    print(f"{correct_tests}/{len(tests)}")
if __name__ == '__main__':
    test_isMatch()</t>
  </si>
  <si>
    <t>True_x000D_
True_x000D_
True_x000D_
True_x000D_
True_x000D_
True_x000D_
True_x000D_
True_x000D_
True_x000D_
True_x000D_
True_x000D_
True_x000D_
True_x000D_
True_x000D_
14/14</t>
  </si>
  <si>
    <t>loops: 4, conditionals: 6</t>
  </si>
  <si>
    <t>import heapq
class ListNode:
    def __init__(self, val=0, next=None):
        self.val = val
        self.next = next
def mergeKLists(lists: list[ListNode]) -&gt; ListNode:
    """
    Merges k sorted linked lists into one sorted linked list.
    Args:
        lists: A list of sorted linked lists.
    Returns:
        The merged sorted linked list.
    """
    # Use a min-heap to efficiently merge the lists
    heap = []
    for i, head in enumerate(lists):
        if head:
            heapq.heappush(heap, (head.val, i, head))  # (value, list_index, node)
    dummy_head = ListNode()
    current = dummy_head
    while heap:
        val, list_index, node = heapq.heappop(heap)
        current.next = node
        current = current.next
        if node.next:
            heapq.heappush(heap, (node.next.val, list_index, node.next))
    return dummy_head.next
def list_to_linked_list(lst):
    """Converts a list to a linked list."""
    dummy_head = ListNode()
    current = dummy_head
    for val in lst:
        current.next = ListNode(val)
        current = current.next
    return dummy_head.next
def linked_list_to_list(head):
    """Converts a linked list to a list."""
    result = []
    current = head
    while current:
        result.append(current.val)
        current = current.next
    return result
def test_merge_k_lists():
    """Tests the mergeKLists function."""
    tests = [
        ([[1, 4, 5], [1, 3, 4], [2, 6]], [1, 1, 2, 3, 4, 4, 5, 6]),
        ([], []),
        ([[]], []),
        ([[1, 2, 3], [], [4, 5, 6]], [1, 2, 3, 4, 5, 6]),
        ([[-1, 5, 11], [6, 10], [2, 3, 4, 7, 8, 9]], [-1, 2, 3, 4, 5, 6, 7, 8, 9, 10, 11]),
        ([[] , [1]], [1])
    ]
    correct_tests = 0
    for lists_input, expected_output in tests:
        lists = [list_to_linked_list(lst) for lst in lists_input]
        merged_list = mergeKLists(lists)
        result = linked_list_to_list(merged_list)
        if result == expected_output:
            print(True)
            correct_tests += 1
        else:
            print(False)
    print(f"{correct_tests}/{len(tests)}")
if __name__ == '__main__':
    test_merge_k_lists()</t>
  </si>
  <si>
    <t>True_x000D_
True_x000D_
True_x000D_
True_x000D_
True_x000D_
True_x000D_
6/6</t>
  </si>
  <si>
    <t>loops: 5, conditionals: 4</t>
  </si>
  <si>
    <t>def lengthOfLongestSubstring(s: str) -&gt; int:
    """
    Finds the length of the longest substring without repeating characters.
    Args:
        s: The input string.
    Returns:
        The length of the longest substring without repeating characters.
    """
    if not s:
        return 0
    max_length = 0
    start = 0
    char_index_map = {}  # Store the index of each character
    for end, char in enumerate(s):
        if char in char_index_map and char_index_map[char] &gt;= start:
            # Repeating character found within the current window
            start = char_index_map[char] + 1
        char_index_map[char] = end
        max_length = max(max_length, end - start + 1)
    return max_length
def test_length_of_longest_substring():
    """Tests the lengthOfLongestSubstring function."""
    tests = [
        ("abcabcbb", 3),
        ("bbbbb", 1),
        ("pwwkew", 3),
        ("", 0),
        (" ", 1),
        ("au", 2),
        ("dvdf", 3),
        ("abba", 2)
    ]
    correct_tests = 0
    for s, expected_length in tests:
        result = lengthOfLongestSubstring(s)
        if result == expected_length:
            print(True)
            correct_tests += 1
        else:
            print(False)
    print(f"{correct_tests}/{len(tests)}")
if __name__ == '__main__':
    test_length_of_longest_substring()</t>
  </si>
  <si>
    <t>def findMedianSortedArrays(nums1: list[int], nums2: list[int]) -&gt; float:
    """
    Finds the median of two sorted arrays.
    Args:
        nums1: The first sorted array.
        nums2: The second sorted array.
    Returns:
        The median of the two sorted arrays.
    """
    merged_array = sorted(nums1 + nums2)
    merged_length = len(merged_array)
    if merged_length == 0:
        return 0.0
    if merged_length % 2 == 0:
        # Even length, median is the average of the middle two elements
        mid1 = merged_array[merged_length // 2 - 1]
        mid2 = merged_array[merged_length // 2]
        return (mid1 + mid2) / 2.0
    else:
        # Odd length, median is the middle element
        return float(merged_array[merged_length // 2])
def test_find_median_sorted_arrays():
    """Tests the findMedianSortedArrays function."""
    tests = [
        ([1, 3], [2], 2.0),
        ([1, 2], [3, 4], 2.5),
        ([0, 0], [0, 0], 0.0),
        ([], [1], 1.0),
        ([2], [], 2.0),
        ([1, 2, 3], [4, 5, 6], 3.5),
        ([4, 5, 6], [1, 2, 3], 3.5),
        ([1, 3], [2, 7], 3.0),
        ([1, 2, 3], [1, 2, 3], 2.0)
    ]
    correct_tests = 0
    for nums1, nums2, expected_median in tests:
        result = findMedianSortedArrays(nums1, nums2)
        if abs(result - expected_median) &lt; 1e-5:  # Use a small tolerance for floating-point comparisons
            print(True)
            correct_tests += 1
        else:
            print(False)
    print(f"{correct_tests}/{len(tests)}")
if __name__ == '__main__':
    test_find_median_sorted_arrays()</t>
  </si>
  <si>
    <t>def isMatch(s: str, p: str) -&gt; bool:
    """
    Implements regular expression matching with support for '.' and '*'.
    Args:
        s: The input string.
        p: The pattern.
    Returns:
        True if the pattern matches the entire input string, False otherwise.
    """
    dp = {}  # Memoization to store results of subproblems
    def solve(s_idx, p_idx):
        """
        Recursive helper function to solve the matching problem.
        Args:
            s_idx: Index of the current character in the string.
            p_idx: Index of the current character in the pattern.
        Returns:
            True if the pattern matches the substring starting from s_idx,
            False otherwise.
        """
        if (s_idx, p_idx) in dp:
            return dp[(s_idx, p_idx)]
        # Base case: If the pattern is exhausted
        if p_idx == len(p):
            return s_idx == len(s)
        # Check if the current characters match or if the pattern has a '.'
        first_match = s_idx &lt; len(s) and (p[p_idx] == s[s_idx] or p[p_idx] == '.')
        # Case 1: '*' encountered
        if p_idx + 1 &lt; len(p) and p[p_idx + 1] == '*':
            # Option 1: '*' matches zero occurrences of the preceding character
            # Skip the '*' and the preceding character
            match = solve(s_idx, p_idx + 2)
            # Option 2: '*' matches one or more occurrences of the preceding character
            if not match and first_match:
                match = solve(s_idx + 1, p_idx)
            dp[(s_idx, p_idx)] = match
            return match
        # Case 2: No '*' or end of pattern
        if first_match:
            match = solve(s_idx + 1, p_idx + 1)
            dp[(s_idx, p_idx)] = match
            return match
        # No match
        dp[(s_idx, p_idx)] = False
        return False
    return solve(0, 0)
def test_isMatch():
    """Tests the isMatch function."""
    tests = [
        ("aa", "a", False),
        ("aa", "a*", True),
        ("ab", ".*", True),
        ("aab", "c*a*b", True),
        ("mississippi", "mis*is*p*.", False),
        ("a", "ab*", True),
        ("abc", ".*", True),
        ("abc", "a.c", True),
        ("abc", "a.d", False),
        ("aaa", "a*a", True),
        ("aaa", "ab*a*c*a", True),
        ("a", ".*..a*", False),
        ("ab", ".*c", False),
        ("aaaaaaaaaaaaab", "a*a*a*a*a*a*a*a*a*a*c", False)
    ]
    correct_tests = 0
    for s, p, expected in tests:
        result = isMatch(s, p)
        if result == expected:
            print(True)
            correct_tests += 1
        else:
            print(False)
    print(f"{correct_tests}/{len(tests)}")
if __name__ == '__main__':
    test_isMatch()</t>
  </si>
  <si>
    <t>loops: 1, conditionals: 7</t>
  </si>
  <si>
    <t>import heapq
class ListNode:
    def __init__(self, val=0, next=None):
        self.val = val
        self.next = next
def mergeKLists(lists: list[ListNode]) -&gt; ListNode:
    """
    Merges k sorted linked lists into one sorted linked list.
    Args:
        lists: A list of sorted linked lists.
    Returns:
        The merged sorted linked list.
    """
    # Use a min-heap to efficiently merge the lists
    heap = []
    # Add the head of each list to the heap
    for i, head in enumerate(lists):
        if head:
            heapq.heappush(heap, (head.val, i, head))  # (value, list_index, node)
    dummy = ListNode()
    current = dummy
    while heap:
        # Get the smallest node from the heap
        val, list_index, node = heapq.heappop(heap)
        current.next = node
        current = current.next
        # Add the next node from the same list to the heap
        if node.next:
            heapq.heappush(heap, (node.next.val, list_index, node.next))
    return dummy.next
def list_to_linked_list(lst):
    """Converts a list to a linked list."""
    dummy_head = ListNode()
    current = dummy_head
    for val in lst:
        current.next = ListNode(val)
        current = current.next
    return dummy_head.next
def linked_list_to_list(head):
    """Converts a linked list to a list."""
    result = []
    current = head
    while current:
        result.append(current.val)
        current = current.next
    return result
def test_merge_k_lists():
    """Tests the mergeKLists function."""
    tests = [
        ([[1, 4, 5], [1, 3, 4], [2, 6]], [1, 1, 2, 3, 4, 4, 5, 6]),
        ([], []),
        ([[]], []),
        ([[1, 2, 3], [], [4, 5, 6]], [1, 2, 3, 4, 5, 6]),
        ([[-1, 5, 11], [6, 10], [2, 8, 12]], [-1, 2, 5, 6, 8, 10, 11, 12]),
        ([[0]], [0])
    ]
    correct_tests = 0
    for lists_input, expected_output in tests:
        lists = [list_to_linked_list(lst) for lst in lists_input]
        merged_list = mergeKLists(lists)
        result = linked_list_to_list(merged_list)
        if result == expected_output:
            print(True)
            correct_tests += 1
        else:
            print(False)
    print(f"{correct_tests}/{len(tests)}")
if __name__ == '__main__':
    test_merge_k_lists()</t>
  </si>
  <si>
    <t>def isMatch(s: str, p: str) -&gt; bool:
    """
    Implements regular expression matching with support for '.' and '*'.
    Args:
        s: The input string.
        p: The pattern.
    Returns:
        True if the pattern matches the entire input string, False otherwise.
    """
    dp = {}  # Memoization to store results of subproblems
    def solve(s_idx, p_idx):
        """
        Recursive helper function to solve the matching problem.
        Args:
            s_idx: Index of the current character in the string.
            p_idx: Index of the current character in the pattern.
        Returns:
            True if the pattern matches the substring starting from s_idx,
            False otherwise.
        """
        if (s_idx, p_idx) in dp:
            return dp[(s_idx, p_idx)]
        # Base case: If the pattern is exhausted
        if p_idx == len(p):
            return s_idx == len(s)
        # Check if the current characters match or if the pattern has a '.'
        first_match = s_idx &lt; len(s) and (p[p_idx] == s[s_idx] or p[p_idx] == '.')
        # Case 1: '*' encountered
        if p_idx + 1 &lt; len(p) and p[p_idx + 1] == '*':
            # Option 1: '*' matches zero occurrences of the preceding character
            match = solve(s_idx, p_idx + 2)
            # Option 2: '*' matches one or more occurrences of the preceding character
            if not match and first_match:
                match = solve(s_idx + 1, p_idx)
            dp[(s_idx, p_idx)] = match
            return match
        # Case 2: No '*' or end of pattern
        if first_match:
            match = solve(s_idx + 1, p_idx + 1)
            dp[(s_idx, p_idx)] = match
            return match
        dp[(s_idx, p_idx)] = False
        return False
    return solve(0, 0)
def test_isMatch():
    """Tests the isMatch function."""
    tests = [
        ("aa", "a", False),
        ("aa", "a*", True),
        ("ab", ".*", True),
        ("aab", "c*a*b", True),
        ("mississippi", "mis*is*p*.", False),
        ("a", "ab*", True),
        ("abc", ".*", True),
        ("abc", "a.c", True),
        ("abc", "a.d", False),
        ("aaa", "ab*a", True),
        ("aaa", "ab*ac*a", True),
        ("aaa", "aaaa", False),
        ("a", ".*..", False),
        ("ab", ".*c", False),
        ("aaaaaaaaaaaaab", "a*a*a*a*a*a*a*a*a*a*c", False)
    ]
    correct_tests = 0
    for s, p, expected in tests:
        result = isMatch(s, p)
        if result == expected:
            print(True)
            correct_tests += 1
        else:
            print(False)
    print(f"{correct_tests}/{len(tests)}")
if __name__ == '__main__':
    test_isMatch()</t>
  </si>
  <si>
    <t>True_x000D_
True_x000D_
True_x000D_
True_x000D_
True_x000D_
True_x000D_
True_x000D_
True_x000D_
True_x000D_
False_x000D_
True_x000D_
True_x000D_
True_x000D_
True_x000D_
True_x000D_
14/15</t>
  </si>
  <si>
    <t>import heapq
class ListNode:
    def __init__(self, val=0, next=None):
        self.val = val
        self.next = next
def mergeKLists(lists: list[ListNode]) -&gt; ListNode:
    """
    Merges k sorted linked lists into one sorted linked list.
    Args:
        lists: A list of sorted linked lists.
    Returns:
        The merged sorted linked list.
    """
    # Use a min-heap to efficiently merge the lists
    heap = []
    for i, head in enumerate(lists):
        if head:
            heapq.heappush(heap, (head.val, i, head))  # (value, list_index, node)
    dummy_head = ListNode()
    current = dummy_head
    while heap:
        val, list_index, node = heapq.heappop(heap)
        current.next = node
        current = current.next
        if node.next:
            heapq.heappush(heap, (node.next.val, list_index, node.next))
    return dummy_head.next
def list_to_linked_list(lst):
    """Converts a list to a linked list."""
    dummy_head = ListNode()
    current = dummy_head
    for val in lst:
        current.next = ListNode(val)
        current = current.next
    return dummy_head.next
def linked_list_to_list(head):
    """Converts a linked list to a list."""
    result = []
    current = head
    while current:
        result.append(current.val)
        current = current.next
    return result
def test_merge_k_lists():
    """Tests the mergeKLists function."""
    tests = [
        ([[1, 4, 5], [1, 3, 4], [2, 6]], [1, 1, 2, 3, 4, 4, 5, 6]),
        ([], []),
        ([[]], []),
        ([[1, 2, 3], [], [4, 5, 6]], [1, 2, 3, 4, 5, 6]),
        ([[1], [2], [3]], [1, 2, 3]),
        ([[-1, 5, 10, 11], [0, 2, 6, 12], [1, 3, 7, 13]], [-1, 0, 1, 2, 3, 5, 6, 7, 10, 11, 12, 13])
    ]
    correct_tests = 0
    for lists_input, expected_output in tests:
        lists_of_linked_lists = []
        for lst in lists_input:
            lists_of_linked_lists.append(list_to_linked_list(lst))
        result_linked_list = mergeKLists(lists_of_linked_lists)
        result_list = linked_list_to_list(result_linked_list)
        if result_list == expected_output:
            print(True)
            correct_tests += 1
        else:
            print(False)
    print(f"{correct_tests}/{len(tests)}")
if __name__ == '__main__':
    test_merge_k_lists()</t>
  </si>
  <si>
    <t>loops: 6, conditionals: 4</t>
  </si>
  <si>
    <t>class ListNode:
    def __init__(self, val=0, next=None):
        self.val = val
        self.next = next
def addTwoNumbers(l1: ListNode, l2: ListNode) -&gt; ListNode:
    """
    Adds two numbers represented as linked lists.
    Args:
        l1: The first linked list.
        l2: The second linked list.
    Returns:
        The sum as a linked list.
    """
    dummy_head = ListNode(0)
    current = dummy_head
    carry = 0
    while l1 or l2 or carry:
        val1 = l1.val if l1 else 0
        val2 = l2.val if l2 else 0
        sum_vals = val1 + val2 + carry
        carry = sum_vals // 10
        digit = sum_vals % 10
        current.next = ListNode(digit)
        current = current.next
        if l1:
            l1 = l1.next
        if l2:
            l2 = l2.next
    return dummy_head.next
def list_to_linked_list(lst):
    """Converts a list to a linked list."""
    dummy_head = ListNode(0)
    current = dummy_head
    for val in lst:
        current.next = ListNode(val)
        current = current.next
    return dummy_head.next
def linked_list_to_list(head):
    """Converts a linked list to a list."""
    result = []
    current = head
    while current:
        result.append(current.val)
        current = current.next
    return result
def run_tests():
    """Runs the tests and prints the results."""
    test_cases = [
        ([2, 4, 3], [5, 6, 4], [7, 0, 8]),
        ([0], [0], [0]),
        ([9, 9, 9, 9, 9, 9, 9], [9, 9, 9, 9], [8, 9, 9, 9, 0, 0, 0, 1]),
        ([1, 0, 0, 0, 0, 0, 0, 0, 0, 0, 0, 0, 0, 0, 0, 0, 0, 0, 0, 0, 0, 0, 0, 0, 0, 0, 0, 0, 0, 1], [5, 6, 4], [6, 6, 4, 0, 0, 0, 0, 0, 0, 0, 0, 0, 0, 0, 0, 0, 0, 0, 0, 0, 0, 0, 0, 0, 0, 0, 0, 0, 0, 1])
    ]
    correct_tests = 0
    for i, (l1_list, l2_list, expected_output) in enumerate(test_cases):
        l1 = list_to_linked_list(l1_list)
        l2 = list_to_linked_list(l2_list)
        result_linked_list = addTwoNumbers(l1, l2)
        result_list = linked_list_to_list(result_linked_list)
        if result_list == expected_output:
            print(f"Test {i+1}: True")
            correct_tests += 1
        else:
            print(f"Test {i+1}: False")
    print(f"Correct tests: {correct_tests}/{len(test_cases)}")
run_tests()</t>
  </si>
  <si>
    <t>Test 1: True_x000D_
Test 2: True_x000D_
Test 3: True_x000D_
Test 4: True_x000D_
Correct tests: 4/4</t>
  </si>
  <si>
    <t>loops: 4, conditionals: 3</t>
  </si>
  <si>
    <t>def lengthOfLongestSubstring(s: str) -&gt; int:
    """
    Finds the length of the longest substring without repeating characters.
    Args:
        s: The input string.
    Returns:
        The length of the longest substring without repeating characters.
    """
    if not s:
        return 0
    max_length = 0
    start = 0
    char_index_map = {}  # Store the index of each character
    for end, char in enumerate(s):
        if char in char_index_map and char_index_map[char] &gt;= start:
            # Repeating character found within the current window
            start = char_index_map[char] + 1
        char_index_map[char] = end
        max_length = max(max_length, end - start + 1)
    return max_length
def run_tests():
    """Runs the tests and prints the results."""
    test_cases = [
        ("abcabcbb", 3),
        ("bbbbb", 1),
        ("pwwkew", 3),
        ("", 0),
        (" ", 1),
        ("au", 2),
        ("dvdf", 3),
        ("tmmzuxt", 5)
    ]
    correct_tests = 0
    for i, (s, expected_output) in enumerate(test_cases):
        result = lengthOfLongestSubstring(s)
        if result == expected_output:
            print(f"Test {i+1}: True")
            correct_tests += 1
        else:
            print(f"Test {i+1}: False")
    print(f"Correct tests: {correct_tests}/{len(test_cases)}")
run_tests()</t>
  </si>
  <si>
    <t>Test 1: True_x000D_
Test 2: True_x000D_
Test 3: True_x000D_
Test 4: True_x000D_
Test 5: True_x000D_
Test 6: True_x000D_
Test 7: True_x000D_
Test 8: True_x000D_
Correct tests: 8/8</t>
  </si>
  <si>
    <t>loops: 2, conditionals: 3</t>
  </si>
  <si>
    <t>def findMedianSortedArrays(nums1: list[int], nums2: list[int]) -&gt; float:
    """
    Finds the median of two sorted arrays.
    Args:
        nums1: The first sorted array.
        nums2: The second sorted array.
    Returns:
        The median of the two sorted arrays.
    """
    merged_array = sorted(nums1 + nums2)
    merged_length = len(merged_array)
    if merged_length == 0:
        return 0.0
    if merged_length % 2 == 0:
        # Even length, median is the average of the middle two elements
        mid1 = merged_array[merged_length // 2 - 1]
        mid2 = merged_array[merged_length // 2]
        return (mid1 + mid2) / 2.0
    else:
        # Odd length, median is the middle element
        return float(merged_array[merged_length // 2])
def run_tests():
    """Runs the tests and prints the results."""
    test_cases = [
        ([1, 3], [2], 2.0),
        ([1, 2], [3, 4], 2.5),
        ([0, 0], [0, 0], 0.0),
        ([], [1], 1.0),
        ([2], [], 2.0),
        ([1, 2, 3], [4, 5, 6], 3.5),
        ([4, 5, 6], [1, 2, 3], 3.5),
        ([-1, -2], [-3], -2.0),
        ([1, 3], [2, 7], 3.0)
    ]
    correct_tests = 0
    for i, (nums1, nums2, expected_output) in enumerate(test_cases):
        result = findMedianSortedArrays(nums1, nums2)
        if abs(result - expected_output) &lt; 1e-5:  # Use a small tolerance for floating-point comparisons
            print(f"Test {i+1}: True")
            correct_tests += 1
        else:
            print(f"Test {i+1}: False")
    print(f"Correct tests: {correct_tests}/{len(test_cases)}")
run_tests()</t>
  </si>
  <si>
    <t>Test 1: True_x000D_
Test 2: True_x000D_
Test 3: True_x000D_
Test 4: True_x000D_
Test 5: True_x000D_
Test 6: True_x000D_
Test 7: True_x000D_
Test 8: True_x000D_
Test 9: False_x000D_
Correct tests: 8/9</t>
  </si>
  <si>
    <t>loops: 1, conditionals: 3</t>
  </si>
  <si>
    <t>def isMatch(s: str, p: str) -&gt; bool:
    """
    Implements regular expression matching with support for '.' and '*'.
    Args:
        s: The input string.
        p: The pattern.
    Returns:
        True if the pattern matches the entire input string, False otherwise.
    """
    dp = {}  # Memoization table (s_index, p_index) -&gt; boolean
    def solve(s_index, p_index):
        if (s_index, p_index) in dp:
            return dp[(s_index, p_index)]
        # Base cases
        if p_index == len(p):
            return s_index == len(s)
        first_match = (s_index &lt; len(s) and
                       (p[p_index] == s[s_index] or p[p_index] == '.'))
        if p_index + 1 &lt; len(p) and p[p_index + 1] == '*':
            # Two possibilities:
            # 1. '*' matches zero occurrences of the preceding character
            # 2. '*' matches one or more occurrences of the preceding character
            result = solve(s_index, p_index + 2) or (first_match and solve(s_index + 1, p_index))
        else:
            # No '*' or end of pattern
            result = first_match and solve(s_index + 1, p_index + 1)
        dp[(s_index, p_index)] = result
        return result
    return solve(0, 0)
def run_tests():
    """Runs the tests and prints the results."""
    test_cases = [
        ("aa", "a", False),
        ("aa", "a*", True),
        ("ab", ".*", True),
        ("aab", "c*a*b", True),
        ("mississippi", "mis*is*p*.", False),
        ("a", "ab*", True),
        ("abc", ".*", True),
        ("abc", "a.c", True),
        ("abc", "a.d", False),
        ("aaa", "ab*a", True),
        ("aaa", "ab*c*a", True),
        ("a", ".*..a*", False),
        ("aaaaaaaaaaaaab", "a*a*a*a*a*a*a*a*a*a*c", False)
    ]
    correct_tests = 0
    for i, (s, p, expected_output) in enumerate(test_cases):
        result = isMatch(s, p)
        if result == expected_output:
            print(f"Test {i+1}: True")
            correct_tests += 1
        else:
            print(f"Test {i+1}: False")
    print(f"Correct tests: {correct_tests}/{len(test_cases)}")
run_tests()</t>
  </si>
  <si>
    <t>Test 1: True_x000D_
Test 2: True_x000D_
Test 3: True_x000D_
Test 4: True_x000D_
Test 5: True_x000D_
Test 6: True_x000D_
Test 7: True_x000D_
Test 8: True_x000D_
Test 9: True_x000D_
Test 10: False_x000D_
Test 11: False_x000D_
Test 12: True_x000D_
Test 13: True_x000D_
Correct tests: 11/13</t>
  </si>
  <si>
    <t>import heapq
class ListNode:
    def __init__(self, val=0, next=None):
        self.val = val
        self.next = next
def mergeKLists(lists: list[ListNode]) -&gt; ListNode:
    """
    Merges k sorted linked lists into one sorted linked list.
    Args:
        lists: A list of sorted linked lists.
    Returns:
        The merged sorted linked list.
    """
    # Use a min-heap to efficiently merge the lists
    heap = []
    # Add the head of each list to the heap
    for i, head in enumerate(lists):
        if head:
            heapq.heappush(heap, (head.val, i, head))  # (value, list_index, node)
    dummy = ListNode()
    current = dummy
    while heap:
        # Get the smallest node from the heap
        val, list_index, node = heapq.heappop(heap)
        current.next = node
        current = current.next
        # Add the next node from the same list to the heap
        if node.next:
            heapq.heappush(heap, (node.next.val, list_index, node.next))
    return dummy.next
def list_to_linked_list(lst):
    """Converts a list to a linked list."""
    dummy_head = ListNode()
    current = dummy_head
    for val in lst:
        current.next = ListNode(val)
        current = current.next
    return dummy_head.next
def linked_list_to_list(head):
    """Converts a linked list to a list."""
    result = []
    current = head
    while current:
        result.append(current.val)
        current = current.next
    return result
def run_tests():
    """Runs the tests and prints the results."""
    test_cases = [
        ([[1, 4, 5], [1, 3, 4], [2, 6]], [1, 1, 2, 3, 4, 4, 5, 6]),
        ([], []),
        ([[]], []),
        ([[1, 2, 3], [4, 5, 6]], [1, 2, 3, 4, 5, 6]),
        ([[1, 2], [3, 4, 5]], [1, 2, 3, 4, 5]),
        ([[1], [2]], [1, 2]),
        ([[1, 2, 3], [], [4, 5]], [1, 2, 3, 4, 5]),
        ([[-1, 5, 10, 11], [0, 2, 6, 12], [1, 3, 7, 9]], [-1, 0, 1, 2, 3, 5, 6, 7, 9, 10, 11, 12])
    ]
    correct_tests = 0
    for i, (lists_input, expected_output) in enumerate(test_cases):
        lists_linked_list = []
        for lst in lists_input:
            lists_linked_list.append(list_to_linked_list(lst))
        result_linked_list = mergeKLists(lists_linked_list)
        result_list = linked_list_to_list(result_linked_list)
        if result_list == expected_output:
            print(f"Test {i+1}: True")
            correct_tests += 1
        else:
            print(f"Test {i+1}: False")
    print(f"Correct tests: {correct_tests}/{len(test_cases)}")
run_tests()</t>
  </si>
  <si>
    <t>loops: 6, conditionals: 3</t>
  </si>
  <si>
    <t>class ListNode:
    def __init__(self, val=0, next=None):
        self.val = val
        self.next = next
def addTwoNumbers(l1: ListNode, l2: ListNode) -&gt; ListNode:
    """
    Adds two numbers represented as linked lists.
    Args:
        l1: The first linked list.
        l2: The second linked list.
    Returns:
        A new linked list representing the sum of the two input linked lists.
    """
    dummy_head = ListNode(0)
    current = dummy_head
    carry = 0
    while l1 or l2 or carry:
        sum_val = carry
        if l1:
            sum_val += l1.val
            l1 = l1.next
        if l2:
            sum_val += l2.val
            l2 = l2.next
        carry = sum_val // 10
        current.next = ListNode(sum_val % 10)
        current = current.next
    return dummy_head.next
def list_to_linked_list(lst):
    """Converts a Python list to a linked list."""
    dummy_head = ListNode(0)
    current = dummy_head
    for val in lst:
        current.next = ListNode(val)
        current = current.next
    return dummy_head.next
def linked_list_to_list(head):
    """Converts a linked list to a Python list."""
    result = []
    current = head
    while current:
        result.append(current.val)
        current = current.next
    return result
def run_tests():
    """Runs the test cases and prints the results."""
    test_cases = [
        ([2, 4, 3], [5, 6, 4], [7, 0, 8]),
        ([0], [0], [0]),
        ([9, 9, 9, 9, 9, 9, 9], [9, 9, 9, 9], [8, 9, 9, 9, 0, 0, 0, 1]),
        ([1, 2, 3], [4, 5, 6], [5, 7, 9]),
        ([1], [9, 9], [0, 0, 1])
    ]
    correct_count = 0
    total_tests = len(test_cases)
    for i, (l1_list, l2_list, expected_list) in enumerate(test_cases):
        l1 = list_to_linked_list(l1_list)
        l2 = list_to_linked_list(l2_list)
        result_linked_list = addTwoNumbers(l1, l2)
        result_list = linked_list_to_list(result_linked_list)
        if result_list == expected_list:
            print(f"Test {i+1}: True")
            correct_count += 1
        else:
            print(f"Test {i+1}: False")
    print(f"Correct tests: {correct_count}/{total_tests}")
run_tests()</t>
  </si>
  <si>
    <t>Test 1: True_x000D_
Test 2: True_x000D_
Test 3: True_x000D_
Test 4: True_x000D_
Test 5: True_x000D_
Correct tests: 5/5</t>
  </si>
  <si>
    <t>def lengthOfLongestSubstring(s: str) -&gt; int:
    """
    Finds the length of the longest substring without repeating characters.
    Args:
        s: The input string.
    Returns:
        The length of the longest substring without repeating characters.
    """
    if not s:
        return 0
    max_length = 0
    start = 0
    char_index_map = {}  # Stores the index of each character
    for end, char in enumerate(s):
        if char in char_index_map and char_index_map[char] &gt;= start:
            # Repeating character found within the current window
            start = char_index_map[char] + 1
        char_index_map[char] = end
        max_length = max(max_length, end - start + 1)
    return max_length
def run_tests():
    """Runs the test cases and prints the results."""
    test_cases = [
        ("abcabcbb", 3),
        ("bbbbb", 1),
        ("pwwkew", 3),
        ("", 0),
        (" ", 1),
        ("au", 2),
        ("dvdf", 3),
        ("anviaj", 6),
        ("tmmzuxt", 5)
    ]
    correct_count = 0
    total_tests = len(test_cases)
    for i, (s, expected_length) in enumerate(test_cases):
        result = lengthOfLongestSubstring(s)
        if result == expected_length:
            print(f"Test {i+1}: True")
            correct_count += 1
        else:
            print(f"Test {i+1}: False")
    print(f"Correct tests: {correct_count}/{total_tests}")
run_tests()</t>
  </si>
  <si>
    <t>Test 1: True_x000D_
Test 2: True_x000D_
Test 3: True_x000D_
Test 4: True_x000D_
Test 5: True_x000D_
Test 6: True_x000D_
Test 7: True_x000D_
Test 8: False_x000D_
Test 9: True_x000D_
Correct tests: 8/9</t>
  </si>
  <si>
    <t>def findMedianSortedArrays(nums1: list[int], nums2: list[int]) -&gt; float:
    """
    Finds the median of two sorted arrays.
    Args:
        nums1: The first sorted array.
        nums2: The second sorted array.
    Returns:
        The median of the two sorted arrays.
    """
    merged = sorted(nums1 + nums2)
    merged_len = len(merged)
    if merged_len == 0:
        return 0.0
    if merged_len % 2 == 0:
        # Even length, median is the average of the middle two elements
        mid1 = merged_len // 2 - 1
        mid2 = merged_len // 2
        return (merged[mid1] + merged[mid2]) / 2.0
    else:
        # Odd length, median is the middle element
        mid = merged_len // 2
        return float(merged[mid])
def run_tests():
    """Runs the test cases and prints the results."""
    test_cases = [
        ([1, 3], [2], 2.0),
        ([1, 2], [3, 4], 2.5),
        ([0, 0], [0, 0], 0.0),
        ([], [1], 1.0),
        ([2], [], 2.0),
        ([1, 2, 3], [4, 5, 6], 3.5),
        ([4,5,6], [1,2,3], 3.5),
        ([1,3], [2,7], 3),
        ([1,2,3,4], [5,6,7,8], 4.5)
    ]
    correct_count = 0
    total_tests = len(test_cases)
    for i, (nums1, nums2, expected_median) in enumerate(test_cases):
        result = findMedianSortedArrays(nums1, nums2)
        if abs(result - expected_median) &lt; 1e-5:  # Handle floating-point comparisons
            print(f"Test {i+1}: True")
            correct_count += 1
        else:
            print(f"Test {i+1}: False")
    print(f"Correct tests: {correct_count}/{total_tests}")
run_tests()</t>
  </si>
  <si>
    <t>def isMatch(s: str, p: str) -&gt; bool:
    """
    Implements regular expression matching with support for '.' and '*'.
    Args:
        s: The input string.
        p: The pattern.
    Returns:
        True if the pattern matches the entire input string, False otherwise.
    """
    m, n = len(s), len(p)
    dp = [[False] * (n + 1) for _ in range(m + 1)]
    # Base case: empty string matches empty pattern
    dp[0][0] = True
    # Handle patterns like a*, a*b*, a*b*c*
    for j in range(1, n + 1):
        if p[j - 1] == '*':
            dp[0][j] = dp[0][j - 2]
    for i in range(1, m + 1):
        for j in range(1, n + 1):
            if p[j - 1] == '.' or p[j - 1] == s[i - 1]:
                dp[i][j] = dp[i - 1][j - 1]
            elif p[j - 1] == '*':
                # Case 1: '*' matches zero occurrences of the preceding character
                dp[i][j] = dp[i][j - 2]
                # Case 2: '*' matches one or more occurrences
                if p[j - 2] == '.' or p[j - 2] == s[i - 1]:
                    dp[i][j] = dp[i][j] or dp[i - 1][j]
            else:
                dp[i][j] = False
    return dp[m][n]
def run_tests():
    """Runs the test cases and prints the results."""
    test_cases = [
        ("aa", "a", False),
        ("aa", "a*", True),
        ("ab", ".*", True),
        ("aab", "c*a*b", True),
        ("mississippi", "mis*is*p*.", False),
        ("abc", ".*", True),
        ("abc", "abc", True),
        ("abc", "abd", False),
        ("a", "ab*", True),
        ("a", ".*..", False),
        ("ab", ".*c", False),
        ("a", ".*", True),
        ("a", "a*", True),
        ("ab", ".*c*", False),
        ("aaa", "ab*a", False),
        ("aaa", "ab*a*c*a", True),
        ("aaaa", "a*a*", True),
        ("ab", ".*..c*", False)
    ]
    correct_count = 0
    total_tests = len(test_cases)
    for i, (s, p, expected_result) in enumerate(test_cases):
        result = isMatch(s, p)
        if result == expected_result:
            print(f"Test {i+1}: True")
            correct_count += 1
        else:
            print(f"Test {i+1}: False")
    print(f"Correct tests: {correct_count}/{total_tests}")
run_tests()</t>
  </si>
  <si>
    <t>Test 1: True_x000D_
Test 2: True_x000D_
Test 3: True_x000D_
Test 4: True_x000D_
Test 5: True_x000D_
Test 6: True_x000D_
Test 7: True_x000D_
Test 8: True_x000D_
Test 9: True_x000D_
Test 10: True_x000D_
Test 11: True_x000D_
Test 12: True_x000D_
Test 13: True_x000D_
Test 14: False_x000D_
Test 15: True_x000D_
Test 16: True_x000D_
Test 17: True_x000D_
Test 18: False_x000D_
Correct tests: 16/18</t>
  </si>
  <si>
    <t>loops: 4, conditionals: 5</t>
  </si>
  <si>
    <t>import heapq
class ListNode:
    def __init__(self, val=0, next=None):
        self.val = val
        self.next = next
def mergeKLists(lists: list[ListNode]) -&gt; ListNode:
    """
    Merges k sorted linked lists into one sorted linked list.
    Args:
        lists: A list of sorted linked lists.
    Returns:
        The merged sorted linked list.
    """
    heap = []
    # Add the head of each linked list to the heap
    for i, lst in enumerate(lists):
        if lst:
            heapq.heappush(heap, (lst.val, i, lst))  # (value, list_index, node)
    dummy = ListNode(0)
    current = dummy
    while heap:
        val, list_index, node = heapq.heappop(heap)
        current.next = node
        current = current.next
        if node.next:
            heapq.heappush(heap, (node.next.val, list_index, node.next))
    return dummy.next
def list_to_linked_list(lst):
    """Converts a Python list to a linked list."""
    dummy_head = ListNode(0)
    current = dummy_head
    for val in lst:
        current.next = ListNode(val)
        current = current.next
    return dummy_head.next
def linked_list_to_list(head):
    """Converts a linked list to a Python list."""
    result = []
    current = head
    while current:
        result.append(current.val)
        current = current.next
    return result
def run_tests():
    """Runs the test cases and prints the results."""
    test_cases = [
        ([[1, 4, 5], [1, 3, 4], [2, 6]], [1, 1, 2, 3, 4, 4, 5, 6]),
        ([], []),
        ([[]], []),
        ([[1, 2, 3], [], [4, 5, 6]], [1, 2, 3, 4, 5, 6]),
        ([[1], [2]], [1, 2]),
        ([[5,6,7], [1,2,3,4]], [1,2,3,4,5,6,7]),
        ([[-1, 5, 11], [6, 10], [2, 3, 4, 8, 9]], [-1, 2, 3, 4, 5, 6, 8, 9, 10, 11])
    ]
    correct_count = 0
    total_tests = len(test_cases)
    for i, (lists_input, expected_output) in enumerate(test_cases):
        lists_linked_list = []
        for lst in lists_input:
            lists_linked_list.append(list_to_linked_list(lst))
        merged_list = mergeKLists(lists_linked_list)
        result_list = linked_list_to_list(merged_list)
        if result_list == expected_output:
            print(f"Test {i+1}: True")
            correct_count += 1
        else:
            print(f"Test {i+1}: False")
    print(f"Correct tests: {correct_count}/{total_tests}")
run_tests()</t>
  </si>
  <si>
    <t>Test 1: True_x000D_
Test 2: True_x000D_
Test 3: True_x000D_
Test 4: True_x000D_
Test 5: True_x000D_
Test 6: True_x000D_
Test 7: True_x000D_
Correct tests: 7/7</t>
  </si>
  <si>
    <t>class ListNode:
    def __init__(self, val=0, next=None):
        self.val = val
        self.next = next
def addTwoNumbers(l1: ListNode, l2: ListNode) -&gt; ListNode:
    """
    Adds two numbers represented as linked lists.
    Args:
        l1: The first linked list.
        l2: The second linked list.
    Returns:
        A new linked list representing the sum of the two input linked lists.
    """
    dummy_head = ListNode(0)
    current = dummy_head
    carry = 0
    while l1 or l2 or carry:
        sum_val = carry
        if l1:
            sum_val += l1.val
            l1 = l1.next
        if l2:
            sum_val += l2.val
            l2 = l2.next
        carry = sum_val // 10
        current.next = ListNode(sum_val % 10)
        current = current.next
    return dummy_head.next
def list_to_linked_list(lst):
    """Converts a list to a linked list."""
    dummy_head = ListNode(0)
    current = dummy_head
    for val in lst:
        current.next = ListNode(val)
        current = current.next
    return dummy_head.next
def linked_list_to_list(head):
    """Converts a linked list to a list."""
    result = []
    current = head
    while current:
        result.append(current.val)
        current = current.next
    return result
def test_add_two_numbers():
    """Tests the addTwoNumbers function."""
    tests = [
        ([2, 4, 3], [5, 6, 4], [7, 0, 8]),
        ([0], [0], [0]),
        ([9, 9, 9, 9, 9, 9, 9], [9, 9, 9, 9], [8, 9, 9, 9, 0, 0, 0, 1]),
        ([1, 2, 3], [4, 5, 6], [5, 7, 9]),
        ([1], [9, 9], [0, 0, 1])
    ]
    correct_tests = 0
    for i, (l1_list, l2_list, expected_list) in enumerate(tests):
        l1 = list_to_linked_list(l1_list)
        l2 = list_to_linked_list(l2_list)
        result_linked_list = addTwoNumbers(l1, l2)
        result_list = linked_list_to_list(result_linked_list)
        if result_list == expected_list:
            print(True)
            correct_tests += 1
        else:
            print(False)
    print(f"{correct_tests}/{len(tests)}")
if __name__ == '__main__':
    test_add_two_numbers()</t>
  </si>
  <si>
    <t>def lengthOfLongestSubstring(s: str) -&gt; int:
    """
    Finds the length of the longest substring without repeating characters.
    Args:
        s: The input string.
    Returns:
        The length of the longest substring without repeating characters.
    """
    if not s:
        return 0
    max_length = 0
    start = 0
    char_index_map = {}  # Store the index of each character
    for end, char in enumerate(s):
        if char in char_index_map and char_index_map[char] &gt;= start:
            # Repeating character found within the current window
            start = char_index_map[char] + 1
        char_index_map[char] = end
        max_length = max(max_length, end - start + 1)
    return max_length
def test_length_of_longest_substring():
    """Tests the lengthOfLongestSubstring function."""
    tests = [
        ("abcabcbb", 3),
        ("bbbbb", 1),
        ("pwwkew", 3),
        ("", 0),
        (" ", 1),
        ("au", 2),
        ("dvdf", 3),
        ("anviaj", 6)
    ]
    correct_tests = 0
    for s, expected_length in tests:
        result = lengthOfLongestSubstring(s)
        if result == expected_length:
            print(True)
            correct_tests += 1
        else:
            print(False)
    print(f"{correct_tests}/{len(tests)}")
if __name__ == '__main__':
    test_length_of_longest_substring()</t>
  </si>
  <si>
    <t>True_x000D_
True_x000D_
True_x000D_
True_x000D_
True_x000D_
True_x000D_
True_x000D_
False_x000D_
7/8</t>
  </si>
  <si>
    <t>def findMedianSortedArrays(nums1: list[int], nums2: list[int]) -&gt; float:
    """
    Finds the median of two sorted arrays.
    Args:
        nums1: The first sorted array.
        nums2: The second sorted array.
    Returns:
        The median of the two sorted arrays.
    """
    merged_array = sorted(nums1 + nums2)
    merged_length = len(merged_array)
    if merged_length == 0:
        return 0.0
    if merged_length % 2 == 0:
        # Even length, median is the average of the middle two elements
        mid1 = merged_array[merged_length // 2 - 1]
        mid2 = merged_array[merged_length // 2]
        return (mid1 + mid2) / 2.0
    else:
        # Odd length, median is the middle element
        return float(merged_array[merged_length // 2])
def test_find_median_sorted_arrays():
    """Tests the findMedianSortedArrays function."""
    tests = [
        ([1, 3], [2], 2.0),
        ([1, 2], [3, 4], 2.5),
        ([0, 0], [0, 0], 0.0),
        ([], [1], 1.0),
        ([2], [], 2.0),
        ([1, 2, 3], [4, 5, 6], 3.5),
        ([4, 5, 6], [1, 2, 3], 3.5),
        ([1, 3], [2, 4], 2.5),
        ([1, 2, 3], [2, 4, 6], 2.5)
    ]
    correct_tests = 0
    for nums1, nums2, expected_median in tests:
        result = findMedianSortedArrays(nums1, nums2)
        if abs(result - expected_median) &lt; 1e-5:  # Use a small tolerance for floating-point comparisons
            print(True)
            correct_tests += 1
        else:
            print(False)
    print(f"{correct_tests}/{len(tests)}")
if __name__ == '__main__':
    test_find_median_sorted_arrays()</t>
  </si>
  <si>
    <t>True_x000D_
True_x000D_
True_x000D_
True_x000D_
True_x000D_
True_x000D_
True_x000D_
True_x000D_
True_x000D_
9/9</t>
  </si>
  <si>
    <t>def isMatch(s: str, p: str) -&gt; bool:
    """
    Implements regular expression matching with support for '.' and '*'.
    Args:
        s: The input string.
        p: The pattern.
    Returns:
        True if the pattern matches the entire input string, False otherwise.
    """
    dp = {}  # Memoization to store results of subproblems
    def solve(s_idx, p_idx):
        """
        Recursive helper function to solve the matching problem.
        Args:
            s_idx: The current index in the string s.
            p_idx: The current index in the pattern p.
        Returns:
            True if the pattern matches the substring of s starting at s_idx,
            False otherwise.
        """
        if (s_idx, p_idx) in dp:
            return dp[(s_idx, p_idx)]
        # Base case: If the pattern is exhausted
        if p_idx == len(p):
            return s_idx == len(s)
        # Check if the current characters match or if the pattern has a '.'
        first_match = (s_idx &lt; len(s) and
                       (p[p_idx] == s[s_idx] or p[p_idx] == '.'))
        # Case 1: '*' encountered
        if p_idx + 1 &lt; len(p) and p[p_idx + 1] == '*':
            # Option 1: '*' matches zero occurrences of the preceding character
            match = solve(s_idx, p_idx + 2)  # Skip the '*' and the preceding character
            # Option 2: '*' matches one or more occurrences of the preceding character
            if not match and first_match:
                match = solve(s_idx + 1, p_idx)  # Consume one character from s
            dp[(s_idx, p_idx)] = match
            return match
        # Case 2: No '*' or end of pattern
        if first_match:
            match = solve(s_idx + 1, p_idx + 1)
            dp[(s_idx, p_idx)] = match
            return match
        # No match
        dp[(s_idx, p_idx)] = False
        return False
    return solve(0, 0)
def test_isMatch():
    """Tests the isMatch function."""
    tests = [
        ("aa", "a", False),
        ("aa", "a*", True),
        ("ab", ".*", True),
        ("aab", "c*a*b", True),
        ("mississippi", "mis*is*p*.", False),
        ("abc", "abc", True),
        ("abc", "abd", False),
        ("abc", "a.c", True),
        ("abc", "a.*", True),
        ("abc", "a*b*c", True),
        ("abc", "a*b*c*", True),
        ("abc", "a*b*c*d", False),
        ("a", "ab*", True),
        ("a", ".*..", False),
        ("ab", ".*c", False),
        ("aaaaaaaaaaaaab", "a*b", True)
    ]
    correct_tests = 0
    for s, p, expected in tests:
        result = isMatch(s, p)
        if result == expected:
            print(True)
            correct_tests += 1
        else:
            print(False)
    print(f"{correct_tests}/{len(tests)}")
if __name__ == '__main__':
    test_isMatch()</t>
  </si>
  <si>
    <t>True_x000D_
True_x000D_
True_x000D_
True_x000D_
True_x000D_
True_x000D_
True_x000D_
True_x000D_
True_x000D_
True_x000D_
True_x000D_
True_x000D_
True_x000D_
True_x000D_
True_x000D_
True_x000D_
16/16</t>
  </si>
  <si>
    <t>import heapq
class ListNode:
    def __init__(self, val=0, next=None):
        self.val = val
        self.next = next
def mergeKLists(lists: list[ListNode]) -&gt; ListNode:
    """
    Merges k sorted linked lists into one sorted linked list.
    Args:
        lists: A list of sorted linked lists.
    Returns:
        A new sorted linked list.
    """
    # Use a min-heap to efficiently merge the lists
    heap = []
    # Add the head of each list to the heap
    for i, lst in enumerate(lists):
        if lst:
            heapq.heappush(heap, (lst.val, i, lst))  # (value, list_index, node)
    dummy_head = ListNode()
    current = dummy_head
    while heap:
        # Get the smallest node from the heap
        val, list_index, node = heapq.heappop(heap)
        current.next = node
        current = current.next
        # Add the next node from the same list to the heap
        if node.next:
            heapq.heappush(heap, (node.next.val, list_index, node.next))
    return dummy_head.next
def list_to_linked_list(lst):
    """Converts a list to a linked list."""
    dummy_head = ListNode()
    current = dummy_head
    for val in lst:
        current.next = ListNode(val)
        current = current.next
    return dummy_head.next
def linked_list_to_list(head):
    """Converts a linked list to a list."""
    result = []
    current = head
    while current:
        result.append(current.val)
        current = current.next
    return result
def test_mergeKLists():
    """Tests the mergeKLists function."""
    tests = [
        ([[1, 4, 5], [1, 3, 4], [2, 6]], [1, 1, 2, 3, 4, 4, 5, 6]),
        ([], []),
        ([[]], []),
        ([[1, 2, 3], [], [4, 5, 6]], [1, 2, 3, 4, 5, 6]),
        ([[-1, 5, 10, 11], [0, 2, 6, 12], [1, 3, 7, 13]], [-1, 0, 1, 2, 3, 5, 6, 7, 10, 11, 12, 13])
    ]
    correct_tests = 0
    for lists_list, expected_list in tests:
        lists = [list_to_linked_list(lst) for lst in lists_list]
        result_linked_list = mergeKLists(lists)
        result_list = linked_list_to_list(result_linked_list)
        if result_list == expected_list:
            print(True)
            correct_tests += 1
        else:
            print(False)
    print(f"{correct_tests}/{len(tests)}")
if __name__ == '__main__':
    test_mergeKLists()</t>
  </si>
  <si>
    <t>def lengthOfLongestSubstring(s: str) -&gt; int:
    """
    Finds the length of the longest substring without repeating characters.
    Args:
        s: The input string.
    Returns:
        The length of the longest substring without repeating characters.
    """
    if not s:
        return 0
    max_length = 0
    start = 0
    char_index_map = {}  # Stores the index of each character
    for end, char in enumerate(s):
        if char in char_index_map and char_index_map[char] &gt;= start:
            # Repeating character found within the current window
            start = char_index_map[char] + 1
        char_index_map[char] = end
        max_length = max(max_length, end - start + 1)
    return max_length
def test_length_of_longest_substring():
    """Tests the lengthOfLongestSubstring function."""
    tests = [
        ("abcabcbb", 3),
        ("bbbbb", 1),
        ("pwwkew", 3),
        ("", 0),
        (" ", 1),
        ("au", 2),
        ("dvdf", 3),
        ("abba", 2)
    ]
    correct_tests = 0
    for s, expected_length in tests:
        result = lengthOfLongestSubstring(s)
        if result == expected_length:
            print(True)
            correct_tests += 1
        else:
            print(False)
    print(f"{correct_tests}/{len(tests)}")
if __name__ == '__main__':
    test_length_of_longest_substring()</t>
  </si>
  <si>
    <t>def findMedianSortedArrays(nums1: list[int], nums2: list[int]) -&gt; float:
    """
    Finds the median of two sorted arrays.
    Args:
        nums1: The first sorted array.
        nums2: The second sorted array.
    Returns:
        The median of the two sorted arrays.
    """
    merged_array = sorted(nums1 + nums2)
    merged_length = len(merged_array)
    if merged_length == 0:
        return 0.0
    if merged_length % 2 == 0:
        # Even length, median is the average of the middle two elements
        mid1 = merged_array[merged_length // 2 - 1]
        mid2 = merged_array[merged_length // 2]
        return (mid1 + mid2) / 2.0
    else:
        # Odd length, median is the middle element
        return float(merged_array[merged_length // 2])
def test_find_median_sorted_arrays():
    """Tests the findMedianSortedArrays function."""
    tests = [
        ([1, 3], [2], 2.0),
        ([1, 2], [3, 4], 2.5),
        ([0, 0], [0, 0], 0.0),
        ([], [1], 1.0),
        ([2], [], 2.0),
        ([1, 2, 3], [4, 5, 6], 3.5),
        ([4, 5, 6], [1, 2, 3], 3.5),
        ([1, 3], [2, 4], 2.5),
        ([1, 2, 3], [1, 2, 3], 2.0)
    ]
    correct_tests = 0
    for nums1, nums2, expected_median in tests:
        result = findMedianSortedArrays(nums1, nums2)
        if abs(result - expected_median) &lt; 1e-5:  # Using a small tolerance for floating-point comparisons
            print(True)
            correct_tests += 1
        else:
            print(False)
    print(f"{correct_tests}/{len(tests)}")
if __name__ == '__main__':
    test_find_median_sorted_arrays()</t>
  </si>
  <si>
    <t>def isMatch(s: str, p: str) -&gt; bool:
    """
    Implements regular expression matching with support for '.' and '*'.
    Args:
        s: The input string.
        p: The pattern.
    Returns:
        True if the pattern matches the entire input string, False otherwise.
    """
    dp = {}  # Memoization to store results of subproblems
    def regex_match(s_idx, p_idx):
        """Recursive helper function with memoization."""
        if (s_idx, p_idx) in dp:
            return dp[(s_idx, p_idx)]
        # Base cases
        if p_idx == len(p):
            return s_idx == len(s)  # Pattern exhausted, string also exhausted
        if s_idx == len(s):
            # String exhausted, check if pattern can match empty string
            if p_idx + 1 &lt; len(p) and p[p_idx + 1] == '*':
                result = regex_match(s_idx, p_idx + 2)  # Skip the char and '*'
                dp[(s_idx, p_idx)] = result
                return result
            else:
                dp[(s_idx, p_idx)] = False
                return False
        # Recursive cases
        char_match = (p[p_idx] == '.' or p[p_idx] == s[s_idx])
        if p_idx + 1 &lt; len(p) and p[p_idx + 1] == '*':
            # '*' case: zero or more occurrences of the preceding character
            # Option 1: Match zero occurrences (skip the char and '*')
            result = regex_match(s_idx, p_idx + 2)
            # Option 2: Match one or more occurrences (if char matches)
            if char_match:
                result = result or regex_match(s_idx + 1, p_idx)
            dp[(s_idx, p_idx)] = result
            return result
        elif char_match:
            # Regular character match or '.' match
            result = regex_match(s_idx + 1, p_idx + 1)
            dp[(s_idx, p_idx)] = result
            return result
        else:
            # No match
            dp[(s_idx, p_idx)] = False
            return False
    return regex_match(0, 0)
def test_isMatch():
    """Tests the isMatch function."""
    tests = [
        ("aa", "a", False),
        ("aa", "a*", True),
        ("ab", ".*", True),
        ("aab", "c*a*b", True),
        ("mississippi", "mis*is*p*.", False),
        ("a", "ab*", True),
        ("abc", ".*", True),
        ("abc", "a.c", True),
        ("abc", "a.d", False),
        ("a", ".*..", False),
        ("ab", ".*c", False),
        ("aaa", "ab*a", False),
        ("aaa", "ab*a*c*a", True),
        ("aaaa", "a*a*", True),
        ("ab", ".*..", False),
        ("a", ".*", True),
        ("aaaaaaaaaaaaab", "a*b", True)
    ]
    correct_tests = 0
    for s, p, expected in tests:
        result = isMatch(s, p)
        if result == expected:
            print(True)
            correct_tests += 1
        else:
            print(False)
    print(f"{correct_tests}/{len(tests)}")
if __name__ == '__main__':
    test_isMatch()</t>
  </si>
  <si>
    <t>True_x000D_
True_x000D_
True_x000D_
True_x000D_
True_x000D_
True_x000D_
True_x000D_
True_x000D_
True_x000D_
True_x000D_
True_x000D_
True_x000D_
True_x000D_
True_x000D_
False_x000D_
True_x000D_
True_x000D_
16/17</t>
  </si>
  <si>
    <t>loops: 1, conditionals: 9</t>
  </si>
  <si>
    <t>from typing import List, Optional
import heapq
class ListNode:
    def __init__(self, val=0, next=None):
        self.val = val
        self.next = next
def mergeKLists(lists: List[Optional[ListNode]]) -&gt; Optional[ListNode]:
    """
    Merges k sorted linked lists into one sorted linked list.
    Args:
        lists: A list of sorted linked lists.
    Returns:
        The merged sorted linked list.
    """
    # Use a min-heap to efficiently merge the lists
    heap = []
    for i, head in enumerate(lists):
        if head:
            heapq.heappush(heap, (head.val, i, head))  # (value, list_index, node)
    dummy_head = ListNode()
    current = dummy_head
    while heap:
        val, list_index, node = heapq.heappop(heap)
        current.next = node
        current = current.next
        if node.next:
            heapq.heappush(heap, (node.next.val, list_index, node.next))
    return dummy_head.next
def list_to_linked_list(lst: List[int]) -&gt; Optional[ListNode]:
    """Converts a list to a linked list."""
    dummy_head = ListNode()
    current = dummy_head
    for val in lst:
        current.next = ListNode(val)
        current = current.next
    return dummy_head.next
def linked_list_to_list(head: Optional[ListNode]) -&gt; List[int]:
    """Converts a linked list to a list."""
    result = []
    current = head
    while current:
        result.append(current.val)
        current = current.next
    return result
def test_mergeKLists():
    """Tests the mergeKLists function."""
    tests = [
        ([[1, 4, 5], [1, 3, 4], [2, 6]], [1, 1, 2, 3, 4, 4, 5, 6]),
        ([], []),
        ([[]], []),
        ([[1, 2, 3], [], [4, 5, 6]], [1, 2, 3, 4, 5, 6]),
        ([[1, 2], [3, 4], [5, 6]], [1, 2, 3, 4, 5, 6]),
        ([[-1, 5, 11], [6, 10], [2, 8, 12]], [-1, 2, 5, 6, 8, 10, 11, 12])
    ]
    correct_tests = 0
    for lists_input, expected_output in tests:
        lists_linked_list = [list_to_linked_list(lst) for lst in lists_input]
        merged_list = mergeKLists(lists_linked_list)
        result_list = linked_list_to_list(merged_list)
        if result_list == expected_output:
            print(True)
            correct_tests += 1
        else:
            print(False)
    print(f"{correct_tests}/{len(tests)}")
if __name__ == '__main__':
    test_mergeKLists()</t>
  </si>
  <si>
    <t>class ListNode:
    def __init__(self, val=0, next=None):
        self.val = val
        self.next = next
def addTwoNumbers(l1: ListNode, l2: ListNode) -&gt; ListNode:
    """
    Adds two numbers represented as linked lists.
    Args:
        l1: The first linked list.
        l2: The second linked list.
    Returns:
        A new linked list representing the sum of the two numbers.
    """
    dummy = ListNode()  # Dummy node to simplify code
    current = dummy
    carry = 0
    while l1 or l2 or carry:
        val1 = l1.val if l1 else 0
        val2 = l2.val if l2 else 0
        sum_val = val1 + val2 + carry
        carry = sum_val // 10
        digit = sum_val % 10
        current.next = ListNode(digit)
        current = current.next
        if l1:
            l1 = l1.next
        if l2:
            l2 = l2.next
    return dummy.next
def list_to_linked_list(nums):
    """Converts a list of integers to a linked list."""
    dummy = ListNode()
    current = dummy
    for num in nums:
        current.next = ListNode(num)
        current = current.next
    return dummy.next
def linked_list_to_list(head):
    """Converts a linked list to a list of integers."""
    result = []
    while head:
        result.append(head.val)
        head = head.next
    return result
def test_add_two_numbers():
    """Tests the addTwoNumbers function."""
    tests = [
        ([2, 4, 3], [5, 6, 4], [7, 0, 8]),
        ([0], [0], [0]),
        ([9, 9, 9, 9, 9, 9, 9], [9, 9, 9, 9], [8, 9, 9, 9, 0, 0, 0, 1]),
        ([1, 2, 3], [4, 5, 6], [5, 7, 9]),
        ([1], [9, 9], [0, 0, 1])
    ]
    correct_tests = 0
    for i, (l1_nums, l2_nums, expected_nums) in enumerate(tests):
        l1 = list_to_linked_list(l1_nums)
        l2 = list_to_linked_list(l2_nums)
        result = addTwoNumbers(l1, l2)
        actual_nums = linked_list_to_list(result)
        if actual_nums == expected_nums:
            print(f"Test {i+1}: True")
            correct_tests += 1
        else:
            print(f"Test {i+1}: False")
    print(f"Correct tests: {correct_tests}/{len(tests)}")
if __name__ == '__main__':
    test_add_two_numbers()</t>
  </si>
  <si>
    <t>def length_of_longest_substring(s: str) -&gt; int:
    """
    Finds the length of the longest substring without repeating characters.
    Args:
        s: The input string.
    Returns:
        The length of the longest substring without repeating characters.
    """
    if not s:
        return 0
    max_length = 0
    start = 0
    char_index_map = {}  # Store the last seen index of each character
    for end, char in enumerate(s):
        if char in char_index_map and char_index_map[char] &gt;= start:
            # If the character is repeated within the current window,
            # move the start pointer to the next position after the previous occurrence.
            start = char_index_map[char] + 1
        char_index_map[char] = end  # Update the last seen index of the character
        max_length = max(max_length, end - start + 1)
    return max_length
def test_length_of_longest_substring():
    """Tests the length_of_longest_substring function."""
    tests = [
        ("abcabcbb", 3),
        ("bbbbb", 1),
        ("pwwkew", 3),
        ("", 0),
        (" ", 1),
        ("au", 2),
        ("aab", 2),
        ("dvdf", 3),
        ("abba", 2)
    ]
    correct_tests = 0
    for i, (s, expected) in enumerate(tests):
        result = length_of_longest_substring(s)
        if result == expected:
            print(f"Test {i+1}: True")
            correct_tests += 1
        else:
            print(f"Test {i+1}: False")
    print(f"Correct tests: {correct_tests}/{len(tests)}")
if __name__ == '__main__':
    test_length_of_longest_substring()</t>
  </si>
  <si>
    <t>Test 1: True_x000D_
Test 2: True_x000D_
Test 3: True_x000D_
Test 4: True_x000D_
Test 5: True_x000D_
Test 6: True_x000D_
Test 7: True_x000D_
Test 8: True_x000D_
Test 9: True_x000D_
Correct tests: 9/9</t>
  </si>
  <si>
    <t>def find_median_sorted_arrays(nums1: list[int], nums2: list[int]) -&gt; float:
    """
    Finds the median of two sorted arrays.
    Args:
        nums1: The first sorted array.
        nums2: The second sorted array.
    Returns:
        The median of the two sorted arrays.
    """
    merged_array = sorted(nums1 + nums2)
    merged_length = len(merged_array)
    if merged_length == 0:
        return 0.0
    if merged_length % 2 == 0:  # Even length
        mid1 = merged_array[merged_length // 2 - 1]
        mid2 = merged_array[merged_length // 2]
        median = (mid1 + mid2) / 2.0
    else:  # Odd length
        median = float(merged_array[merged_length // 2])
    return median
def test_find_median_sorted_arrays():
    """Tests the find_median_sorted_arrays function."""
    tests = [
        ([1, 3], [2], 2.0),
        ([1, 2], [3, 4], 2.5),
        ([0, 0], [0, 0], 0.0),
        ([], [1], 1.0),
        ([2], [], 2.0),
        ([1, 2, 3], [4, 5], 3.0),
        ([4, 5], [1, 2, 3], 3.0),
        ([1, 2, 3], [4], 2.5),
        ([1], [2,3,4], 2.5),
        ([-1, -2], [-3, -4, -5], -3.0),
        ([1, 3], [2, 7], 3.0)
    ]
    correct_tests = 0
    for i, (nums1, nums2, expected) in enumerate(tests):
        result = find_median_sorted_arrays(nums1, nums2)
        if abs(result - expected) &lt; 1e-5:  # Using a tolerance for floating-point comparisons
            print(f"Test {i+1}: True")
            correct_tests += 1
        else:
            print(f"Test {i+1}: False (Expected: {expected}, Actual: {result})")
    print(f"Correct tests: {correct_tests}/{len(tests)}")
if __name__ == '__main__':
    test_find_median_sorted_arrays()</t>
  </si>
  <si>
    <t>Test 1: True_x000D_
Test 2: True_x000D_
Test 3: True_x000D_
Test 4: True_x000D_
Test 5: True_x000D_
Test 6: True_x000D_
Test 7: True_x000D_
Test 8: True_x000D_
Test 9: True_x000D_
Test 10: True_x000D_
Test 11: False (Expected: 3.0, Actual: 2.5)_x000D_
Correct tests: 10/11</t>
  </si>
  <si>
    <t>def is_match(s: str, p: str) -&gt; bool:
    """
    Implements regular expression matching with '.' and '*'.
    Args:
        s: The input string.
        p: The pattern.
    Returns:
        True if the pattern matches the entire input string, False otherwise.
    """
    dp = {}  # Memoization to store intermediate results
    def backtrack(s_index, p_index):
        """Recursive helper function for matching."""
        if (s_index, p_index) in dp:
            return dp[(s_index, p_index)]
        # Base case: Pattern exhausted
        if p_index == len(p):
            return s_index == len(s)
        # Check if the current characters match or if the pattern has '.'
        first_match = (s_index &lt; len(s) and
                       (p[p_index] == s[s_index] or p[p_index] == '.'))
        # Case 1: '*' encountered
        if p_index + 1 &lt; len(p) and p[p_index + 1] == '*':
            # Option 1: '*' matches zero occurrences of preceding element
            match_zero = backtrack(s_index, p_index + 2)
            # Option 2: '*' matches one or more occurrences
            match_one_or_more = (first_match and
                                 backtrack(s_index + 1, p_index))
            result = match_zero or match_one_or_more
        else:
            # Case 2: No '*' or end of string
            result = first_match and backtrack(s_index + 1, p_index + 1)
        dp[(s_index, p_index)] = result  # Store the result in memo
        return result
    return backtrack(0, 0)
def test_is_match():
    """Tests the is_match function."""
    tests = [
        ("aa", "a", False),
        ("aa", "a*", True),
        ("ab", ".*", True),
        ("aab", "c*a*b", True),
        ("mississippi", "mis*is*p*.", False),
        ("ab", ".*c", False),
        ("a", ".*", True),
        ("a", "ab*", True),
        ("abcd", "d*a*c*b*", True),
        ("aaa", "ab*a", True),
        ("aaa", "ab*a*c*a", True),
        ("abc", "abc", True),
        ("abc", "abc.", False)
    ]
    correct_tests = 0
    for i, (s, p, expected) in enumerate(tests):
        result = is_match(s, p)
        if result == expected:
            print(f"Test {i+1}: True")
            correct_tests += 1
        else:
            print(f"Test {i+1}: False")
    print(f"Correct tests: {correct_tests}/{len(tests)}")
if __name__ == '__main__':
    test_is_match()</t>
  </si>
  <si>
    <t>Test 1: True_x000D_
Test 2: True_x000D_
Test 3: True_x000D_
Test 4: True_x000D_
Test 5: True_x000D_
Test 6: True_x000D_
Test 7: True_x000D_
Test 8: True_x000D_
Test 9: False_x000D_
Test 10: False_x000D_
Test 11: True_x000D_
Test 12: True_x000D_
Test 13: True_x000D_
Correct tests: 11/13</t>
  </si>
  <si>
    <t>loops: 1, conditionals: 5</t>
  </si>
  <si>
    <t>import heapq
class ListNode:
    def __init__(self, val=0, next=None):
        self.val = val
        self.next = next
def merge_k_sorted_lists(lists: list[ListNode]) -&gt; ListNode:
    """
    Merges k sorted linked lists into one sorted linked list.
    Args:
        lists: A list of sorted linked lists.
    Returns:
        The merged sorted linked list.
    """
    # Use a min-heap to efficiently merge the lists
    heap = []
    # Add the first node of each list to the heap
    for i, head in enumerate(lists):
        if head:
            heapq.heappush(heap, (head.val, i, head))  # (value, list_index, node)
    dummy = ListNode()
    current = dummy
    while heap:
        val, list_index, node = heapq.heappop(heap)
        current.next = node
        current = current.next
        # Add the next node from the same list to the heap
        if node.next:
            heapq.heappush(heap, (node.next.val, list_index, node.next))
    return dummy.next
def list_to_linked_list(nums):
    """Converts a list of integers to a linked list."""
    dummy = ListNode()
    current = dummy
    for num in nums:
        current.next = ListNode(num)
        current = current.next
    return dummy.next.next
def linked_list_to_list(head):
    """Converts a linked list to a list of integers."""
    result = []
    while head:
        result.append(head.val)
        head = head.next
    return result
def test_merge_k_sorted_lists():
    """Tests the merge_k_sorted_lists function."""
    tests = [
        ([[1, 4, 5], [1, 3, 4], [2, 6]], [1, 1, 2, 3, 4, 4, 5, 6]),
        ([], []),
        ([[]], []),
        ([[1, 2], [3, 4]], [1, 2, 3, 4]),
        ([[1, 3, 5], [2, 4, 6]], [1, 2, 3, 4, 5, 6]),
        ([[-1, 5, 10], [2, 8], [1, 9, 12, 15]], [-1, 1, 2, 5, 8, 9, 10, 12, 15])
    ]
    correct_tests = 0
    for i, (lists_input, expected_output) in enumerate(tests):
        lists = [list_to_linked_list(lst) for lst in lists_input]
        result = merge_k_sorted_lists(lists)
        actual_output = linked_list_to_list(result)
        if actual_output == expected_output:
            print(f"Test {i+1}: True")
            correct_tests += 1
        else:
            print(f"Test {i+1}: False (Expected: {expected_output}, Actual: {actual_output})")
    print(f"Correct tests: {correct_tests}/{len(tests)}")
if __name__ == '__main__':
    test_merge_k_sorted_lists()</t>
  </si>
  <si>
    <t>Test 1: False (Expected: [1, 1, 2, 3, 4, 4, 5, 6], Actual: [3, 4, 4, 5, 6])_x000D_
Test 2: True</t>
  </si>
  <si>
    <t>from typing import List, Optional
class ListNode:
    def __init__(self, val=0, next=None):
        self.val = val
        self.next = next
def mergeKLists(lists: List[Optional[ListNode]]) -&gt; Optional[ListNode]:
    """
    Merges k sorted linked lists into one sorted linked list.
    Args:
        lists: A list of sorted linked lists.
    Returns:
        The merged sorted linked list.
    """
    import heapq
    # Create a min-heap to store the nodes
    heap = []
    for i, head in enumerate(lists):
        if head:
            heapq.heappush(heap, (head.val, i, head))  # (value, list_index, node)
    # Create a dummy head for the merged list
    dummy_head = ListNode()
    current = dummy_head
    while heap:
        # Get the smallest node from the heap
        val, list_index, node = heapq.heappop(heap)
        # Add the node to the merged list
        current.next = node
        current = current.next
        # Add the next node from the same list to the heap
        if node.next:
            heapq.heappush(heap, (node.next.val, list_index, node.next))
    return dummy_head.next
def list_to_linked_list(lst: List[int]) -&gt; Optional[ListNode]:
    """Converts a list to a linked list."""
    dummy_head = ListNode()
    current = dummy_head
    for val in lst:
        current.next = ListNode(val)
        current = current.next
    return dummy_head.next
def linked_list_to_list(head: Optional[ListNode]) -&gt; List[int]:
    """Converts a linked list to a list."""
    result = []
    current = head
    while current:
        result.append(current.val)
        current = current.next
    return result
def test_mergeKLists():
    """Tests the mergeKLists function."""
    tests = [
        ([[1, 4, 5], [1, 3, 4], [2, 6]], [1, 1, 2, 3, 4, 4, 5, 6]),
        ([], []),
        ([[]], []),
        ([[1, 2, 3], [], [4, 5, 6]], [1, 2, 3, 4, 5, 6]),
        ([[-1, 5, 11], [6, 10], [2, 8, 12]], [-1, 2, 5, 6, 8, 10, 11, 12]),
        ([[0]], [0])
    ]
    correct_tests = 0
    for lists_input, expected_output in tests:
        lists_of_linked_lists = []
        for lst in lists_input:
            lists_of_linked_lists.append(list_to_linked_list(lst))
        merged_list = mergeKLists(lists_of_linked_lists)
        result = linked_list_to_list(merged_list)
        if result == expected_output:
            print(True)
            correct_tests += 1
        else:
            print(False)
    print(f"{correct_tests}/{len(tests)}")
if __name__ == '__main__':
    test_mergeKLists()</t>
  </si>
  <si>
    <t>def lengthOfLongestSubstring(s: str) -&gt; int:
    """
    Finds the length of the longest substring without repeating characters.
    Args:
        s: The input string.
    Returns:
        The length of the longest substring without repeating characters.
    """
    if not s:
        return 0
    max_length = 0
    start = 0
    char_index_map = {}  # Stores the index of each character
    for end, char in enumerate(s):
        if char in char_index_map and char_index_map[char] &gt;= start:
            # Repeating character found within the current window
            start = char_index_map[char] + 1
        char_index_map[char] = end
        max_length = max(max_length, end - start + 1)
    return max_length
def run_tests():
    """Runs the tests and prints the results."""
    test_cases = [
        ("abcabcbb", 3),
        ("bbbbb", 1),
        ("pwwkew", 3),
        ("", 0),
        (" ", 1),
        ("au", 2),
        ("dvdf", 3),
        ("anviaj", 6)
    ]
    correct_tests = 0
    for i, (s, expected_output) in enumerate(test_cases):
        result = lengthOfLongestSubstring(s)
        if result == expected_output:
            print(f"Test {i+1}: True")
            correct_tests += 1
        else:
            print(f"Test {i+1}: False")
    print(f"Correct tests: {correct_tests}/{len(test_cases)}")
run_tests()</t>
  </si>
  <si>
    <t>Test 1: True_x000D_
Test 2: True_x000D_
Test 3: True_x000D_
Test 4: True_x000D_
Test 5: True_x000D_
Test 6: True_x000D_
Test 7: True_x000D_
Test 8: False_x000D_
Correct tests: 7/8</t>
  </si>
  <si>
    <t>def findMedianSortedArrays(nums1: list[int], nums2: list[int]) -&gt; float:
    """
    Finds the median of two sorted arrays.
    Args:
        nums1: The first sorted array.
        nums2: The second sorted array.
    Returns:
        The median of the two sorted arrays.
    """
    merged_array = sorted(nums1 + nums2)
    merged_length = len(merged_array)
    if merged_length == 0:
        return 0.0
    if merged_length % 2 == 0:
        # Even length, median is the average of the middle two elements
        mid1 = merged_array[merged_length // 2 - 1]
        mid2 = merged_array[merged_length // 2]
        return (mid1 + mid2) / 2.0
    else:
        # Odd length, median is the middle element
        return float(merged_array[merged_length // 2])
def run_tests():
    """Runs the tests and prints the results."""
    test_cases = [
        ([1, 3], [2], 2.0),
        ([1, 2], [3, 4], 2.5),
        ([0, 0], [0, 0], 0.0),
        ([], [1], 1.0),
        ([2], [], 2.0),
        ([1, 2, 3], [4, 5, 6], 3.5),
        ([4, 5, 6], [1, 2, 3], 3.5),
        ([1, 3], [2, 4], 2.5),
        ([1, 2, 3, 4], [5, 6], 3.5),
        ([1, 2], [3, 4, 5, 6], 3.5)
    ]
    correct_tests = 0
    for i, (nums1, nums2, expected_output) in enumerate(test_cases):
        result = findMedianSortedArrays(nums1, nums2)
        if abs(result - expected_output) &lt; 1e-5:  # Use a tolerance for floating-point comparisons
            print(f"Test {i+1}: True")
            correct_tests += 1
        else:
            print(f"Test {i+1}: False")
    print(f"Correct tests: {correct_tests}/{len(test_cases)}")
run_tests()</t>
  </si>
  <si>
    <t>Test 1: True_x000D_
Test 2: True_x000D_
Test 3: True_x000D_
Test 4: True_x000D_
Test 5: True_x000D_
Test 6: True_x000D_
Test 7: True_x000D_
Test 8: True_x000D_
Test 9: True_x000D_
Test 10: True_x000D_
Correct tests: 10/10</t>
  </si>
  <si>
    <t>def isMatch(s: str, p: str) -&gt; bool:
    """
    Implements regular expression matching with support for '.' and '*'.
    Args:
        s: The input string.
        p: The pattern.
    Returns:
        True if the pattern matches the entire input string, False otherwise.
    """
    dp = {}  # Memoization to store results of subproblems
    def solve(s_idx, p_idx):
        """
        Recursive helper function to solve the problem.
        Args:
            s_idx: The current index in the string s.
            p_idx: The current index in the pattern p.
        Returns:
            True if the pattern matches the substring of s starting at s_idx,
            False otherwise.
        """
        if (s_idx, p_idx) in dp:
            return dp[(s_idx, p_idx)]
        # Base case: If the pattern is exhausted
        if p_idx == len(p):
            return s_idx == len(s)
        # Check if the current characters match or if the pattern has a '.'
        first_match = s_idx &lt; len(s) and (p[p_idx] == s[s_idx] or p[p_idx] == '.')
        # Case 1: '*' encountered
        if p_idx + 1 &lt; len(p) and p[p_idx + 1] == '*':
            # Option 1: '*' matches zero occurrences of the preceding character
            # Skip the current character and '*' in the pattern
            match = solve(s_idx, p_idx + 2)
            # Option 2: '*' matches one or more occurrences of the preceding character
            if not match and first_match:
                match = solve(s_idx + 1, p_idx)
            dp[(s_idx, p_idx)] = match
            return match
        # Case 2: No '*' or end of pattern
        if first_match:
            match = solve(s_idx + 1, p_idx + 1)
            dp[(s_idx, p_idx)] = match
            return match
        dp[(s_idx, p_idx)] = False
        return False
    return solve(0, 0)
def run_tests():
    """Runs the tests and prints the results."""
    test_cases = [
        ("aa", "a", False),
        ("aa", "a*", True),
        ("ab", ".*", True),
        ("aab", "c*a*b", True),
        ("mississippi", "mis*is*p*.", False),
        ("a", "ab*", True),
        ("a", ".*..", False),
        ("abc", ".*", True),
        ("abc", "a.c", True),
        ("abc", "a.d", False),
        ("aaaaaaaaaaaaab", "a*b", True),
        ("aaaaaaaaaaaaab", "a*a*a*a*a*a*a*a*a*a*c", False),
        ("ab", ".*c", False),
        ("a", ".*", True),
        ("abcd", "d*", False)
    ]
    correct_tests = 0
    for i, (s, p, expected_output) in enumerate(test_cases):
        result = isMatch(s, p)
        if result == expected_output:
            print(f"Test {i+1}: True")
            correct_tests += 1
        else:
            print(f"Test {i+1}: False")
    print(f"Correct tests: {correct_tests}/{len(test_cases)}")
run_tests()</t>
  </si>
  <si>
    <t>Test 1: True_x000D_
Test 2: True_x000D_
Test 3: True_x000D_
Test 4: True_x000D_
Test 5: True_x000D_
Test 6: True_x000D_
Test 7: True_x000D_
Test 8: True_x000D_
Test 9: True_x000D_
Test 10: True_x000D_
Test 11: True_x000D_
Test 12: True_x000D_
Test 13: True_x000D_
Test 14: True_x000D_
Test 15: True_x000D_
Correct tests: 15/15</t>
  </si>
  <si>
    <t>loops: 1, conditionals: 6</t>
  </si>
  <si>
    <t>from typing import List, Optional
class ListNode:
    def __init__(self, val=0, next=None):
        self.val = val
        self.next = next
def mergeKLists(lists: List[Optional[ListNode]]) -&gt; Optional[ListNode]:
    """
    Merges k sorted linked lists into one sorted linked list.
    Args:
        lists: A list of sorted linked lists.
    Returns:
        The merged sorted linked list.
    """
    all_nodes = []
    for head in lists:
        current = head
        while current:
            all_nodes.append(current.val)
            current = current.next
    all_nodes.sort()
    if not all_nodes:
        return None
    dummy_head = ListNode()
    current = dummy_head
    for val in all_nodes:
        current.next = ListNode(val)
        current = current.next
    return dummy_head.next
def list_to_linked_list(lst):
    """Converts a list to a linked list."""
    dummy_head = ListNode()
    current = dummy_head
    for val in lst:
        current.next = ListNode(val)
        current = current.next
    return dummy_head.next
def linked_list_to_list(head):
    """Converts a linked list to a list."""
    result = []
    current = head
    while current:
        result.append(current.val)
        current = current.next
    return result
def run_tests():
    """Runs the tests and prints the results."""
    test_cases = [
        ([[1, 4, 5], [1, 3, 4], [2, 6]], [1, 1, 2, 3, 4, 4, 5, 6]),
        ([], []),
        ([[]], []),
        ([[1, 2, 3], [4, 5, 6]], [1, 2, 3, 4, 5, 6]),
        ([[1, 2], [3, 4, 5], [6]], [1, 2, 3, 4, 5, 6]),
        ([[1], [2], [3]], [1, 2, 3]),
        ([[5, 6, 7], [1, 2, 3, 4]], [1, 2, 3, 4, 5, 6, 7])
    ]
    correct_tests = 0
    for i, (lists_input, expected_output) in enumerate(test_cases):
        lists_linked_list = []
        for lst in lists_input:
            lists_linked_list.append(list_to_linked_list(lst))
        result_linked_list = mergeKLists(lists_linked_list)
        result_list = linked_list_to_list(result_linked_list)
        if result_list == expected_output:
            print(f"Test {i+1}: True")
            correct_tests += 1
        else:
            print(f"Test {i+1}: False")
    print(f"Correct tests: {correct_tests}/{len(test_cases)}")
run_tests()</t>
  </si>
  <si>
    <t>loops: 7, conditionals: 2</t>
  </si>
  <si>
    <t>class ListNode:
    def __init__(self, val=0, next=None):
        self.val = val
        self.next = next
def addTwoNumbers(l1: ListNode, l2: ListNode) -&gt; ListNode:
    """
    Adds two numbers represented as linked lists.
    Args:
        l1: The first linked list.
        l2: The second linked list.
    Returns:
        The sum of the two numbers as a linked list.
    """
    carry = 0
    head = None
    tail = None
    while l1 or l2 or carry:
        val1 = l1.val if l1 else 0
        val2 = l2.val if l2 else 0
        sum_vals = val1 + val2 + carry
        digit = sum_vals % 10
        carry = sum_vals // 10
        new_node = ListNode(digit)
        if not head:
            head = new_node
            tail = new_node
        else:
            tail.next = new_node
            tail = new_node
        if l1:
            l1 = l1.next
        if l2:
            l2 = l2.next
    return head
def list_to_linked_list(lst: list) -&gt; ListNode:
    """
    Converts a list to a linked list.
    Args:
        lst: The list to convert.
    Returns:
        The head of the linked list.
    """
    head = None
    tail = None
    for val in lst:
        new_node = ListNode(val)
        if not head:
            head = new_node
            tail = new_node
        else:
            tail.next = new_node
            tail = new_node
    return head
def linked_list_to_list(head: ListNode) -&gt; list:
    """
    Converts a linked list to a list.
    Args:
        head: The head of the linked list.
    Returns:
        The list representation of the linked list.
    """
    lst = []
    current = head
    while current:
        lst.append(current.val)
        current = current.next
    return lst
def test_add_two_numbers():
    """
    Tests the addTwoNumbers function.
    """
    tests = [
        ([2, 4, 3], [5, 6, 4], [7, 0, 8]),
        ([0], [0], [0]),
        ([9, 9, 9, 9, 9, 9, 9], [9, 9, 9, 9], [8, 9, 9, 9, 0, 0, 0, 1]),
        ([1, 0, 0, 0, 0, 0, 0, 0, 0, 0, 0, 0, 0, 0, 0, 0, 0, 0, 0, 0, 0, 0, 0, 0, 0, 0, 0, 0, 0, 1], [5, 6, 4], [6, 6, 4, 0, 0, 0, 0, 0, 0, 0, 0, 0, 0, 0, 0, 0, 0, 0, 0, 0, 0, 0, 0, 0, 0, 0, 0, 0, 0, 1]),
    ]
    correct_count = 0
    for i, (l1_list, l2_list, expected_output) in enumerate(tests):
        l1 = list_to_linked_list(l1_list)
        l2 = list_to_linked_list(l2_list)
        result_linked_list = addTwoNumbers(l1, l2)
        result_list = linked_list_to_list(result_linked_list)
        if result_list == expected_output:
            print("True")
            correct_count += 1
        else:
            print("False")
            print(f"Test {i+1} Failed. Expected: {expected_output}, Got: {result_list}")
    print(f"{correct_count}/{len(tests)}")
test_add_two_numbers()</t>
  </si>
  <si>
    <t>True_x000D_
True_x000D_
True_x000D_
True_x000D_
4/4</t>
  </si>
  <si>
    <t>def length_of_longest_substring(s: str) -&gt; int:
    """
    Finds the length of the longest substring without repeating characters.
    Args:
        s: The input string.
    Returns:
        The length of the longest substring without repeating characters.
    """
    if not s:
        return 0
    start = 0
    end = 0
    max_length = 0
    char_index_map = {}  # Store the index of each character
    while end &lt; len(s):
        char = s[end]
        if char in char_index_map and char_index_map[char] &gt;= start:
            start = char_index_map[char] + 1
        char_index_map[char] = end
        max_length = max(max_length, end - start + 1)
        end += 1
    return max_length
def test_length_of_longest_substring():
    """
    Tests the length_of_longest_substring function.
    """
    tests = [
        ("abcabcbb", 3),
        ("bbbbb", 1),
        ("pwwkew", 3),
        ("", 0),
        (" ", 1),
        ("au", 2),
        ("dvdf", 3),
        ("tmmzuxt",5)
    ]
    correct_count = 0
    for i, (s, expected_output) in enumerate(tests):
        result = length_of_longest_substring(s)
        if result == expected_output:
            print("True")
            correct_count += 1
        else:
            print("False")
            print(f"Test {i+1} Failed. Expected: {expected_output}, Got: {result}")
    print(f"{correct_count}/{len(tests)}")
test_length_of_longest_substring()</t>
  </si>
  <si>
    <t>def find_median_sorted_arrays(nums1: list[int], nums2: list[int]) -&gt; float:
    """
    Finds the median of two sorted arrays.
    Args:
        nums1: The first sorted array.
        nums2: The second sorted array.
    Returns:
        The median of the two sorted arrays.
    """
    merged_array = sorted(nums1 + nums2)
    n = len(merged_array)
    if n % 2 == 0:
        # Even number of elements, median is the average of the middle two
        mid1 = merged_array[n // 2 - 1]
        mid2 = merged_array[n // 2]
        median = (mid1 + mid2) / 2.0
    else:
        # Odd number of elements, median is the middle element
        median = float(merged_array[n // 2])
    return median
def test_find_median_sorted_arrays():
    """
    Tests the find_median_sorted_arrays function.
    """
    tests = [
        ([1, 3], [2], 2.0),
        ([1, 2], [3, 4], 2.5),
        ([0, 0], [0, 0], 0.0),
        ([], [1], 1.0),
        ([2], [], 2.0),
        ([1, 2], [7, 8, 9], 7.0)
    ]
    correct_count = 0
    for i, (nums1, nums2, expected_output) in enumerate(tests):
        result = find_median_sorted_arrays(nums1, nums2)
        if abs(result - expected_output) &lt; 1e-5:  # Using a small tolerance for float comparisons
            print("True")
            correct_count += 1
        else:
            print("False")
            print(f"Test {i+1} Failed. Expected: {expected_output}, Got: {result}")
    print(f"{correct_count}/{len(tests)}")
test_find_median_sorted_arrays()</t>
  </si>
  <si>
    <t>loops: 1, conditionals: 2</t>
  </si>
  <si>
    <t>def is_match(s: str, p: str) -&gt; bool:
    """
    Implements regular expression matching with '.' and '*'.
    Args:
        s: The input string.
        p: The pattern.
    Returns:
        True if the pattern matches the string, False otherwise.
    """
    # Initialize a 2D DP table to store the matching results
    dp = [[False] * (len(p) + 1) for _ in range(len(s) + 1)]
    # Base case: empty string matches empty pattern
    dp[0][0] = True
    # Handle patterns like a*, a*b*, a*b*c* where string is empty
    for j in range(1, len(p) + 1):
        if p[j - 1] == '*':
            dp[0][j] = dp[0][j - 2]
    # Iterate over the string and pattern
    for i in range(1, len(s) + 1):
        for j in range(1, len(p) + 1):
            if p[j - 1] == '.' or p[j - 1] == s[i - 1]:
                # If the characters match or pattern has '.', then it matches
                dp[i][j] = dp[i - 1][j - 1]
            elif p[j - 1] == '*':
                # Handle the '*' character
                dp[i][j] = dp[i][j - 2]  # Match zero occurrences of the preceding character
                if p[j - 2] == '.' or p[j - 2] == s[i - 1]:
                    # Match one or more occurrences of the preceding character
                    dp[i][j] = dp[i][j] or dp[i - 1][j]
            else:
                # Characters do not match
                dp[i][j] = False
    # Return the final result from the bottom-right cell of the DP table
    return dp[len(s)][len(p)]
def test_is_match():
    """
    Tests the is_match function.
    """
    tests = [
        ("aa", "a", False),
        ("aa", "a*", True),
        ("ab", ".*", True),
        ("aab", "c*a*b", True),
        ("mississippi", "mis*is*p*.", False),
        ("abc", "abc", True),
        ("abc", "abc.*", True),
        ("abc", "a.*", False),
        ("ab", ".*c", False),
        ("a", "ab*", True),
        ("aaa", "a*a", True),
        ("aaa", "ab*a", False),
        ("aaaaaaaaaaaaab", "a*b", True),
        ("", ".*", True),
        ("a", "", False),
        ("abcd", "d*", False)
    ]
    correct_count = 0
    for i, (s, p, expected_output) in enumerate(tests):
        result = is_match(s, p)
        if result == expected_output:
            print("True")
            correct_count += 1
        else:
            print("False")
            print(f"Test {i+1} Failed. Expected: {expected_output}, Got: {result}")
    print(f"{correct_count}/{len(tests)}")
test_is_match()</t>
  </si>
  <si>
    <t>True_x000D_
True_x000D_
True_x000D_
True_x000D_
True_x000D_
True_x000D_
True_x000D_
False_x000D_
Test 8 Failed. Expected: False, Got: True_x000D_
True_x000D_
True_x000D_
True_x000D_
True_x000D_
True_x000D_
True_x000D_
True_x000D_
True_x000D_
15/16</t>
  </si>
  <si>
    <t>import heapq
class ListNode:
    def __init__(self, val=0, next=None):
        self.val = val
        self.next = next
def merge_k_sorted_lists(lists: list[ListNode]) -&gt; ListNode:
    """
    Merges k sorted linked-lists into one sorted linked-list.
    Args:
        lists: A list of sorted linked-lists.
    Returns:
        The merged sorted linked-list.
    """
    # Use a min-heap to store the nodes of all the linked lists
    heap = []
    for i, lst in enumerate(lists):
        if lst:
            heapq.heappush(heap, (lst.val, i, lst))  # (value, list_index, node)
    # Create a dummy head for the merged linked list
    dummy = ListNode()
    tail = dummy
    # Iterate until the heap is empty
    while heap:
        # Get the node with the smallest value from the heap
        val, list_index, node = heapq.heappop(heap)
        # Add the node to the merged linked list
        tail.next = node
        tail = node
        # Add the next node from the same list to the heap if it exists
        if node.next:
            heapq.heappush(heap, (node.next.val, list_index, node.next))
    # set the next to None in order to handle case [[]] properly.
    tail.next = None
    return dummy.next
def list_to_linked_list(lst: list) -&gt; ListNode:
    """
    Converts a list to a linked list.
    Args:
        lst: The list to convert.
    Returns:
        The head of the linked list.
    """
    head = None
    tail = None
    for val in lst:
        new_node = ListNode(val)
        if not head:
            head = new_node
            tail = new_node
        else:
            tail.next = new_node
            tail = new_node
    return head
def linked_list_to_list(head: ListNode) -&gt; list:
    """
    Converts a linked list to a list.
    Args:
        head: The head of the linked list.
    Returns:
        The list representation of the linked list.
    """
    lst = []
    current = head
    while current:
        lst.append(current.val)
        current = current.next
    return lst
def test_merge_k_sorted_lists():
    """
    Tests the merge_k_sorted_lists function.
    """
    tests = [
        ([[1, 4, 5], [1, 3, 4], [2, 6]], [1, 1, 2, 3, 4, 4, 5, 6]),
        ([], []),
        ([[]], []),
        ([[], [1]], [1]),
        ([[1], [2]], [1, 2]),
        ([[1,2,3],[4,5,6],[7,8,9]], [1,2,3,4,5,6,7,8,9]),
        ([[5]],[5])
    ]
    correct_count = 0
    for i, (lists_input, expected_output) in enumerate(tests):
        lists = []
        for lst in lists_input:
            lists.append(list_to_linked_list(lst))
        result_linked_list = merge_k_sorted_lists(lists)
        result_list = linked_list_to_list(result_linked_list)
        if result_list == expected_output:
            print("True")
            correct_count += 1
        else:
            print("False")
            print(f"Test {i+1} Failed. Expected: {expected_output}, Got: {result_list}")
    print(f"{correct_count}/{len(tests)}")
test_merge_k_sorted_lists()</t>
  </si>
  <si>
    <t>True_x000D_
True_x000D_
True_x000D_
True_x000D_
True_x000D_
True_x000D_
True_x000D_
7/7</t>
  </si>
  <si>
    <t>gemini-2.0-flash</t>
  </si>
  <si>
    <t>class ListNode:
    def __init__(self, val=0, next=None):
        self.val = val
        self.next = next
def add_two_numbers(l1, l2):
    """
    Adds two numbers represented as linked lists.
    Args:
        l1: The first linked list.
        l2: The second linked list.
    Returns:
        The sum as a linked list.
    """
    carry = 0
    dummy_head = ListNode(0)
    current = dummy_head
    while l1 or l2 or carry:
        val1 = l1.val if l1 else 0
        val2 = l2.val if l2 else 0
        sum_val = val1 + val2 + carry
        carry = sum_val // 10
        digit = sum_val % 10
        current.next = ListNode(digit)
        current = current.next
        if l1:
            l1 = l1.next
        if l2:
            l2 = l2.next
    return dummy_head.next
def linked_list_to_list(head):
    """
    Converts a linked list to a Python list.
    Args:
        head: The head of the linked list.
    Returns:
        A Python list representing the linked list.
    """
    result = []
    current = head
    while current:
        result.append(current.val)
        current = current.next
    return result
def list_to_linked_list(lst):
    """
    Converts a Python list to a linked list.
    Args:
        lst: The Python list.
    Returns:
        The head of the linked list.
    """
    dummy_head = ListNode(0)
    current = dummy_head
    for val in lst:
        current.next = ListNode(val)
        current = current.next
    return dummy_head.next
def test_add_two_numbers():
    """
    Tests the add_two_numbers function.
    """
    test_cases = [
        ([2, 4, 3], [5, 6, 4], [7, 0, 8]),
        ([0], [0], [0]),
        ([9, 9, 9, 9, 9, 9, 9], [9, 9, 9, 9], [8, 9, 9, 9, 0, 0, 0, 1]),
        ([1], [9,9,9], [0,0,0,1]),
        ([9,9], [1], [0,0,1])
    ]
    correct_count = 0
    total_count = len(test_cases)
    for l1_list, l2_list, expected_list in test_cases:
        l1 = list_to_linked_list(l1_list)
        l2 = list_to_linked_list(l2_list)
        result_head = add_two_numbers(l1, l2)
        result_list = linked_list_to_list(result_head)
        if result_list == expected_list:
            print("True")
            correct_count += 1
        else:
            print("False")
    print(f"{correct_count}/{total_count}")
if __name__ == "__main__":
    test_add_two_numbers()</t>
  </si>
  <si>
    <t>def length_of_longest_substring(s):
    """
    Finds the length of the longest substring without repeating characters.
    Args:
        s: The input string.
    Returns:
        The length of the longest substring without repeating characters.
    """
    char_index_map = {}
    start = 0
    max_length = 0
    for end, char in enumerate(s):
        if char in char_index_map and char_index_map[char] &gt;= start:
            start = char_index_map[char] + 1
        char_index_map[char] = end
        max_length = max(max_length, end - start + 1)
    return max_length
def test_length_of_longest_substring():
    """
    Tests the length_of_longest_substring function.
    """
    test_cases = [
        ("abcabcbb", 3),
        ("bbbbb", 1),
        ("pwwkew", 3),
        ("", 0),
        (" ", 1),
        ("au", 2),
        ("dvdf", 3)
    ]
    correct_count = 0
    total_count = len(test_cases)
    for input_string, expected_output in test_cases:
        result = length_of_longest_substring(input_string)
        if result == expected_output:
            print("True")
            correct_count += 1
        else:
            print("False")
    print(f"{correct_count}/{total_count}")
if __name__ == "__main__":
    test_length_of_longest_substring()</t>
  </si>
  <si>
    <t>def find_median_sorted_arrays(nums1, nums2):
    """
    Finds the median of two sorted arrays.
    Args:
        nums1: The first sorted array.
        nums2: The second sorted array.
    Returns:
        The median of the two sorted arrays.
    """
    merged_array = sorted(nums1 + nums2)
    total_length = len(merged_array)
    if total_length % 2 == 0:
        mid1 = merged_array[total_length // 2 - 1]
        mid2 = merged_array[total_length // 2]
        return (mid1 + mid2) / 2.0
    else:
        return float(merged_array[total_length // 2])
def test_find_median_sorted_arrays():
    """
    Tests the find_median_sorted_arrays function.
    """
    test_cases = [
        ([1, 3], [2], 2.0),
        ([1, 2], [3, 4], 2.5),
        ([0, 0], [0, 0], 0.0),
        ([], [1], 1.0),
        ([2], [], 2.0),
        ([1, 2, 5], [3, 4], 3.0),
        ([1, 3], [2, 7], 2.5)
    ]
    correct_count = 0
    total_count = len(test_cases)
    for nums1, nums2, expected_output in test_cases:
        result = find_median_sorted_arrays(nums1, nums2)
        if abs(result - expected_output) &lt; 1e-5:  # Account for floating-point precision
            print("True")
            correct_count += 1
        else:
            print("False")
    print(f"{correct_count}/{total_count}")
if __name__ == "__main__":
    test_find_median_sorted_arrays()</t>
  </si>
  <si>
    <t>def is_match(s, p):
    """
    Implements regular expression matching with support for '.' and '*'.
    Args:
        s: The input string.
        p: The pattern.
    Returns:
        True if the pattern matches the entire string, False otherwise.
    """
    dp = [[False] * (len(p) + 1) for _ in range(len(s) + 1)]
    dp[0][0] = True
    for j in range(1, len(p) + 1):
        if p[j - 1] == '*':
            dp[0][j] = dp[0][j - 2]
    for i in range(1, len(s) + 1):
        for j in range(1, len(p) + 1):
            if p[j - 1] == '.' or p[j - 1] == s[i - 1]:
                dp[i][j] = dp[i - 1][j - 1]
            elif p[j - 1] == '*':
                dp[i][j] = dp[i][j - 2]
                if p[j - 2] == '.' or p[j - 2] == s[i - 1]:
                    dp[i][j] = dp[i][j] or dp[i - 1][j]
            else:
                dp[i][j] = False
    return dp[len(s)][len(p)]
def test_is_match():
    """
    Tests the is_match function.
    """
    test_cases = [
        ("aa", "a", False),
        ("aa", "a*", True),
        ("ab", ".*", True),
        ("aab", "c*a*b", True),
        ("mississippi", "mis*is*p*.", False),
        ("a", "ab*", True),
        ("a", ".*a", False),
        ("aaa", "a*a", True),
        ("abcd", "d*", False)
    ]
    correct_count = 0
    total_count = len(test_cases)
    for s, p, expected_output in test_cases:
        result = is_match(s, p)
        if result == expected_output:
            print("True")
            correct_count += 1
        else:
            print("False")
    print(f"{correct_count}/{total_count}")
if __name__ == "__main__":
    test_is_match()</t>
  </si>
  <si>
    <t>True_x000D_
True_x000D_
True_x000D_
True_x000D_
True_x000D_
True_x000D_
False_x000D_
True_x000D_
True_x000D_
8/9</t>
  </si>
  <si>
    <t>class ListNode:
    def __init__(self, val=0, next=None):
        self.val = val
        self.next = next
def merge_k_lists(lists):
    """
    Merges k sorted linked lists into one sorted linked list.
    Args:
        lists: A list of k sorted linked lists.
    Returns:
        The head of the merged sorted linked list.
    """
    import heapq
    heap = []
    for i, head in enumerate(lists):
        if head:
            heapq.heappush(heap, (head.val, i, head))
    dummy = ListNode(0)
    curr = dummy
    while heap:
        val, i, node = heapq.heappop(heap)
        curr.next = node
        curr = curr.next
        if node.next:
            heapq.heappush(heap, (node.next.val, i, node.next))
    return dummy.next
def linked_list_to_list(head):
    """
    Converts a linked list to a Python list.
    Args:
        head: The head of the linked list.
    Returns:
        A Python list representing the linked list.
    """
    result = []
    current = head
    while current:
        result.append(current.val)
        current = current.next
    return result
def list_to_linked_list(lst):
    """
    Converts a Python list to a linked list.
    Args:
        lst: The Python list.
    Returns:
        The head of the linked list.
    """
    dummy_head = ListNode(0)
    current = dummy_head
    for val in lst:
        current.next = ListNode(val)
        current = current.next
    return dummy_head.next
def test_merge_k_lists():
    """
    Tests the merge_k_lists function.
    """
    test_cases = [
        ([[1, 4, 5], [1, 3, 4], [2, 6]], [1, 1, 2, 3, 4, 4, 5, 6]),
        ([], []),
        ([[]], []),
        ([[1], [0]], [0, 1]),
        ([[2,6,8],[1,3,5],[7,9,10]], [1, 2, 3, 5, 6, 7, 8, 9, 10])
    ]
    correct_count = 0
    total_count = len(test_cases)
    for lists_of_lists, expected_output in test_cases:
        linked_lists = []
        for lst in lists_of_lists:
            linked_lists.append(list_to_linked_list(lst))
        result_head = merge_k_lists(linked_lists)
        result_list = linked_list_to_list(result_head)
        if result_list == expected_output:
            print("True")
            correct_count += 1
        else:
            print("False")
    print(f"{correct_count}/{total_count}")
if __name__ == "__main__":
    test_merge_k_lists()</t>
  </si>
  <si>
    <t>class ListNode:
    def __init__(self, val=0, next=None):
        self.val = val
        self.next = next
def add_two_numbers(l1, l2):
    """
    Adds two numbers represented as linked lists.
    Args:
        l1: The first linked list.
        l2: The second linked list.
    Returns:
        The sum as a linked list.
    """
    dummy_head = ListNode(0)
    current = dummy_head
    carry = 0
    while l1 or l2 or carry:
        val1 = l1.val if l1 else 0
        val2 = l2.val if l2 else 0
        sum_val = val1 + val2 + carry
        carry = sum_val // 10
        digit = sum_val % 10
        current.next = ListNode(digit)
        current = current.next
        if l1:
            l1 = l1.next
        if l2:
            l2 = l2.next
    return dummy_head.next
def list_to_linked_list(lst):
    """
    Converts a list to a linked list.
    Args:
        lst: The list to convert.
    Returns:
        The linked list.
    """
    dummy_head = ListNode(0)
    current = dummy_head
    for val in lst:
        current.next = ListNode(val)
        current = current.next
    return dummy_head.next
def linked_list_to_list(head):
    """
    Converts a linked list to a list.
    Args:
        head: The head of the linked list.
    Returns:
        The list.
    """
    lst = []
    current = head
    while current:
        lst.append(current.val)
        current = current.next
    return lst
def test_add_two_numbers():
    """
    Tests the add_two_numbers function.
    """
    test_cases = [
        ([2, 4, 3], [5, 6, 4], [7, 0, 8]),
        ([0], [0], [0]),
        ([9, 9, 9, 9, 9, 9, 9], [9, 9, 9, 9], [8, 9, 9, 9, 0, 0, 0, 1]),
        ([1], [9,9,9], [0,0,0,1]),
        ([9,9], [1], [0,0,1])
    ]
    correct_count = 0
    total_count = len(test_cases)
    for l1_list, l2_list, expected_list in test_cases:
        l1 = list_to_linked_list(l1_list)
        l2 = list_to_linked_list(l2_list)
        result_list = linked_list_to_list(add_two_numbers(l1, l2))
        if result_list == expected_list:
            print("True")
            correct_count += 1
        else:
            print("False")
    print(f"{correct_count}/{total_count}")
if __name__ == "__main__":
    test_add_two_numbers()</t>
  </si>
  <si>
    <t>def find_median_sorted_arrays(nums1, nums2):
    """
    Finds the median of two sorted arrays.
    Args:
        nums1: The first sorted array.
        nums2: The second sorted array.
    Returns:
        The median of the two sorted arrays.
    """
    merged_array = sorted(nums1 + nums2)
    total_length = len(merged_array)
    if total_length % 2 == 0:
        mid1 = merged_array[total_length // 2 - 1]
        mid2 = merged_array[total_length // 2]
        return (mid1 + mid2) / 2.0
    else:
        return float(merged_array[total_length // 2])
def test_find_median_sorted_arrays():
    """
    Tests the find_median_sorted_arrays function.
    """
    test_cases = [
        ([1, 3], [2], 2.00000),
        ([1, 2], [3, 4], 2.50000),
        ([0, 0], [0, 0], 0.00000),
        ([], [1], 1.00000),
        ([2], [], 2.00000),
        ([1, 2, 5], [3, 4], 3.0),
        ([1, 3], [2, 4], 2.5)
    ]
    correct_count = 0
    total_count = len(test_cases)
    for nums1, nums2, expected_output in test_cases:
        result = find_median_sorted_arrays(nums1, nums2)
        if abs(result - expected_output) &lt; 1e-5:  # Compare floating-point numbers with tolerance
            print("True")
            correct_count += 1
        else:
            print("False")
    print(f"{correct_count}/{total_count}")
if __name__ == "__main__":
    test_find_median_sorted_arrays()</t>
  </si>
  <si>
    <t>def is_match(s, p):
    """
    Implements regular expression matching with support for '.' and '*'.
    Args:
        s: The input string.
        p: The pattern.
    Returns:
        True if the pattern matches the entire string, False otherwise.
    """
    dp = [[False] * (len(p) + 1) for _ in range(len(s) + 1)]
    dp[0][0] = True
    for j in range(1, len(p) + 1):
        if p[j - 1] == '*':
            dp[0][j] = dp[0][j - 2]
    for i in range(1, len(s) + 1):
        for j in range(1, len(p) + 1):
            if p[j - 1] == '.' or p[j - 1] == s[i - 1]:
                dp[i][j] = dp[i - 1][j - 1]
            elif p[j - 1] == '*':
                dp[i][j] = dp[i][j - 2]
                if p[j - 2] == '.' or p[j - 2] == s[i - 1]:
                    dp[i][j] = dp[i][j] or dp[i - 1][j]
            else:
                dp[i][j] = False
    return dp[len(s)][len(p)]
def test_is_match():
    """
    Tests the is_match function.
    """
    test_cases = [
        ("aa", "a", False),
        ("aa", "a*", True),
        ("ab", ".*", True),
        ("aab", "c*a*b", True),
        ("mississippi", "mis*is*p*.", False),
        ("a", "ab*", True),
        ("a", ".*..a*", False),
        ("aaa", "a*a", True),
        ("abc", ".*c", True),
        ("abcd", ".*d", True)
    ]
    correct_count = 0
    total_count = len(test_cases)
    for s, p, expected_output in test_cases:
        result = is_match(s, p)
        if result == expected_output:
            print("True")
            correct_count += 1
        else:
            print("False")
    print(f"{correct_count}/{total_count}")
if __name__ == "__main__":
    test_is_match()</t>
  </si>
  <si>
    <t>True_x000D_
True_x000D_
True_x000D_
True_x000D_
True_x000D_
True_x000D_
True_x000D_
True_x000D_
True_x000D_
True_x000D_
10/10</t>
  </si>
  <si>
    <t>class ListNode:
    def __init__(self, val=0, next=None):
        self.val = val
        self.next = next
def merge_k_lists(lists):
    """
    Merges k sorted linked lists into one sorted linked list.
    Args:
        lists: A list of k sorted linked lists.
    Returns:
        The merged sorted linked list.
    """
    import heapq
    heap = []
    for i, head in enumerate(lists):
        if head:
            heapq.heappush(heap, (head.val, i, head))
    dummy = ListNode(0)
    curr = dummy
    while heap:
        val, i, node = heapq.heappop(heap)
        curr.next = node
        curr = curr.next
        if node.next:
            heapq.heappush(heap, (node.next.val, i, node.next))
    return dummy.next
def list_to_linked_list(lst):
    """
    Converts a list to a linked list.
    Args:
        lst: The list to convert.
    Returns:
        The linked list.
    """
    dummy_head = ListNode(0)
    current = dummy_head
    for val in lst:
        current.next = ListNode(val)
        current = current.next
    return dummy_head.next
def linked_list_to_list(head):
    """
    Converts a linked list to a list.
    Args:
        head: The head of the linked list.
    Returns:
        The list.
    """
    lst = []
    current = head
    while current:
        lst.append(current.val)
        current = current.next
    return lst
def test_merge_k_lists():
    """
    Tests the merge_k_lists function.
    """
    test_cases = [
        ([[1, 4, 5], [1, 3, 4], [2, 6]], [1, 1, 2, 3, 4, 4, 5, 6]),
        ([], []),
        ([[]], []),
        ([[1], [2], [3]], [1, 2, 3]),
        ([[1, 2], [3, 4], [5, 6]], [1, 2, 3, 4, 5, 6]),
        ([[1, 5], [2, 4], [3, 6]], [1, 2, 3, 4, 5, 6])
    ]
    correct_count = 0
    total_count = len(test_cases)
    for lists_of_lists, expected_output in test_cases:
        linked_lists = []
        for lst in lists_of_lists:
            linked_lists.append(list_to_linked_list(lst))
        result_list = linked_list_to_list(merge_k_lists(linked_lists))
        if result_list == expected_output:
            print("True")
            correct_count += 1
        else:
            print("False")
    print(f"{correct_count}/{total_count}")
if __name__ == "__main__":
    test_merge_k_lists()</t>
  </si>
  <si>
    <t>def is_match(s, p):
    """
    Implements regular expression matching with support for '.' and '*'.
    Args:
        s: The input string.
        p: The pattern.
    Returns:
        True if the pattern matches the entire string, False otherwise.
    """
    dp = [[False] * (len(p) + 1) for _ in range(len(s) + 1)]
    dp[0][0] = True
    for j in range(1, len(p) + 1):
        if p[j - 1] == '*':
            dp[0][j] = dp[0][j - 2]
    for i in range(1, len(s) + 1):
        for j in range(1, len(p) + 1):
            if p[j - 1] == '.' or p[j - 1] == s[i - 1]:
                dp[i][j] = dp[i - 1][j - 1]
            elif p[j - 1] == '*':
                dp[i][j] = dp[i][j - 2]
                if p[j - 2] == '.' or p[j - 2] == s[i - 1]:
                    dp[i][j] = dp[i][j] or dp[i - 1][j]
            else:
                dp[i][j] = False
    return dp[len(s)][len(p)]
def test_is_match():
    """
    Tests the is_match function.
    """
    test_cases = [
        ("aa", "a", False),
        ("aa", "a*", True),
        ("ab", ".*", True),
        ("aab", "c*a*b", True),
        ("mississippi", "mis*is*p*.", False),
        ("a", "ab*", True),
        ("a", ".*a", False),
        ("aaa", "a*a", True),
        ("abc", "a.c", True),
        ("abcd", "a.*d", True)
    ]
    correct_count = 0
    total_count = len(test_cases)
    for s, p, expected_output in test_cases:
        result = is_match(s, p)
        if result == expected_output:
            print("True")
            correct_count += 1
        else:
            print("False")
    print(f"{correct_count}/{total_count}")
if __name__ == "__main__":
    test_is_match()</t>
  </si>
  <si>
    <t>True_x000D_
True_x000D_
True_x000D_
True_x000D_
True_x000D_
True_x000D_
False_x000D_
True_x000D_
True_x000D_
True_x000D_
9/10</t>
  </si>
  <si>
    <t>class ListNode:
    def __init__(self, val=0, next=None):
        self.val = val
        self.next = next
def merge_k_lists(lists):
    """
    Merges k sorted linked lists into one sorted linked list.
    Args:
        lists: A list of linked lists, each sorted in ascending order.
    Returns:
        The head of the merged sorted linked list.
    """
    import heapq
    heap = []
    for i, head in enumerate(lists):
        if head:
            heapq.heappush(heap, (head.val, i, head))
    dummy = ListNode(0)
    curr = dummy
    while heap:
        val, i, node = heapq.heappop(heap)
        curr.next = node
        curr = curr.next
        if node.next:
            heapq.heappush(heap, (node.next.val, i, node.next))
    return dummy.next
def list_to_linked_list(lst):
    """
    Converts a list to a linked list.
    Args:
        lst: The list to convert.
    Returns:
        The linked list.
    """
    dummy_head = ListNode(0)
    current = dummy_head
    for val in lst:
        current.next = ListNode(val)
        current = current.next
    return dummy_head.next
def linked_list_to_list(head):
    """
    Converts a linked list to a list.
    Args:
        head: The head of the linked list.
    Returns:
        The list.
    """
    lst = []
    current = head
    while current:
        lst.append(current.val)
        current = current.next
    return lst
def test_merge_k_lists():
    """
    Tests the merge_k_lists function.
    """
    test_cases = [
        ([[1, 4, 5], [1, 3, 4], [2, 6]], [1, 1, 2, 3, 4, 4, 5, 6]),
        ([], []),
        ([[]], []),
        ([[1], [2], [3]], [1, 2, 3]),
        ([[1, 2], [3, 4], [5, 6]], [1, 2, 3, 4, 5, 6])
    ]
    correct_count = 0
    total_count = len(test_cases)
    for lists_of_lists, expected_output in test_cases:
        linked_lists = []
        for lst in lists_of_lists:
            linked_lists.append(list_to_linked_list(lst))
        result_list = linked_list_to_list(merge_k_lists(linked_lists))
        if result_list == expected_output:
            print("True")
            correct_count += 1
        else:
            print("False")
    print(f"{correct_count}/{total_count}")
if __name__ == "__main__":
    test_merge_k_lists()</t>
  </si>
  <si>
    <t>class ListNode:
    def __init__(self, val=0, next=None):
        self.val = val
        self.next = next
def add_two_numbers(l1, l2):
    """
    Adds two numbers represented as linked lists.
    Args:
        l1: The first linked list.
        l2: The second linked list.
    Returns:
        The sum as a linked list.
    """
    carry = 0
    dummy_head = ListNode(0)
    current = dummy_head
    while l1 or l2 or carry:
        val1 = l1.val if l1 else 0
        val2 = l2.val if l2 else 0
        sum_val = val1 + val2 + carry
        carry = sum_val // 10
        digit = sum_val % 10
        current.next = ListNode(digit)
        current = current.next
        if l1:
            l1 = l1.next
        if l2:
            l2 = l2.next
    return dummy_head.next
def linked_list_to_list(head):
    """
    Converts a linked list to a Python list.
    Args:
        head: The head of the linked list.
    Returns:
        A Python list representing the linked list.
    """
    result = []
    current = head
    while current:
        result.append(current.val)
        current = current.next
    return result
def list_to_linked_list(lst):
    """
    Converts a Python list to a linked list.
    Args:
        lst: The Python list.
    Returns:
        The head of the linked list.
    """
    dummy_head = ListNode(0)
    current = dummy_head
    for val in lst:
        current.next = ListNode(val)
        current = current.next
    return dummy_head.next
def test_add_two_numbers():
    """
    Tests the add_two_numbers function.
    """
    test_cases = [
        ([2, 4, 3], [5, 6, 4], [7, 0, 8]),
        ([0], [0], [0]),
        ([9, 9, 9, 9, 9, 9, 9], [9, 9, 9, 9], [8, 9, 9, 9, 0, 0, 0, 1])
    ]
    num_passed = 0
    total_tests = len(test_cases)
    for l1_list, l2_list, expected_list in test_cases:
        l1 = list_to_linked_list(l1_list)
        l2 = list_to_linked_list(l2_list)
        result_list = linked_list_to_list(add_two_numbers(l1, l2))
        if result_list == expected_list:
            print("True")
            num_passed += 1
        else:
            print("False")
    print(f"{num_passed}/{total_tests}")
if __name__ == '__main__':
    test_add_two_numbers()</t>
  </si>
  <si>
    <t>True_x000D_
True_x000D_
True_x000D_
3/3</t>
  </si>
  <si>
    <t>def length_of_longest_substring(s):
    """
    Finds the length of the longest substring without repeating characters.
    Args:
        s: The input string.
    Returns:
        The length of the longest substring without repeating characters.
    """
    char_index_map = {}
    start = 0
    max_length = 0
    for end, char in enumerate(s):
        if char in char_index_map and char_index_map[char] &gt;= start:
            start = char_index_map[char] + 1
        char_index_map[char] = end
        max_length = max(max_length, end - start + 1)
    return max_length
def test_length_of_longest_substring():
    """
    Tests the length_of_longest_substring function.
    """
    test_cases = [
        ("abcabcbb", 3),
        ("bbbbb", 1),
        ("pwwkew", 3),
        ("", 0),
        (" ", 1),
        ("au", 2),
        ("dvdf", 3)
    ]
    num_passed = 0
    total_tests = len(test_cases)
    for s, expected in test_cases:
        result = length_of_longest_substring(s)
        if result == expected:
            print("True")
            num_passed += 1
        else:
            print("False")
    print(f"{num_passed}/{total_tests}")
if __name__ == '__main__':
    test_length_of_longest_substring()</t>
  </si>
  <si>
    <t>def find_median_sorted_arrays(nums1, nums2):
    """
    Finds the median of two sorted arrays.
    Args:
        nums1: The first sorted array.
        nums2: The second sorted array.
    Returns:
        The median of the two sorted arrays.
    """
    merged_array = sorted(nums1 + nums2)
    length = len(merged_array)
    if length % 2 == 0:
        median = (merged_array[length // 2 - 1] + merged_array[length // 2]) / 2.0
    else:
        median = float(merged_array[length // 2])
    return median
def test_find_median_sorted_arrays():
    """
    Tests the find_median_sorted_arrays function.
    """
    test_cases = [
        ([1, 3], [2], 2.00000),
        ([1, 2], [3, 4], 2.50000),
        ([0, 0], [0, 0], 0.00000),
        ([], [1], 1.00000),
        ([2], [], 2.00000),
        ([1, 3], [2, 4], 2.5)
    ]
    num_passed = 0
    total_tests = len(test_cases)
    for nums1, nums2, expected in test_cases:
        result = find_median_sorted_arrays(nums1, nums2)
        if abs(result - expected) &lt; 1e-5:  # Compare floating-point numbers with tolerance
            print("True")
            num_passed += 1
        else:
            print("False")
    print(f"{num_passed}/{total_tests}")
if __name__ == '__main__':
    test_find_median_sorted_arrays()</t>
  </si>
  <si>
    <t>def is_match(s, p):
    """
    Implements regular expression matching with support for '.' and '*'.
    Args:
        s: The input string.
        p: The pattern.
    Returns:
        True if the pattern matches the entire string, False otherwise.
    """
    dp = [[False] * (len(p) + 1) for _ in range(len(s) + 1)]
    dp[0][0] = True
    for j in range(1, len(p) + 1):
        if p[j - 1] == '*':
            dp[0][j] = dp[0][j - 2]
    for i in range(1, len(s) + 1):
        for j in range(1, len(p) + 1):
            if p[j - 1] == '.' or p[j - 1] == s[i - 1]:
                dp[i][j] = dp[i - 1][j - 1]
            elif p[j - 1] == '*':
                dp[i][j] = dp[i][j - 2]
                if p[j - 2] == '.' or p[j - 2] == s[i - 1]:
                    dp[i][j] = dp[i][j] or dp[i - 1][j]
            else:
                dp[i][j] = False
    return dp[len(s)][len(p)]
def test_is_match():
    """
    Tests the is_match function.
    """
    test_cases = [
        ("aa", "a", False),
        ("aa", "a*", True),
        ("ab", ".*", True),
        ("aab", "c*a*b", True),
        ("mississippi", "mis*is*p*.", False),
        ("a", "ab*", True),
        ("a", ".*a", False),
        ("aaa", "a*a", True),
        ("ab", ".*c", False)
    ]
    num_passed = 0
    total_tests = len(test_cases)
    for s, p, expected in test_cases:
        result = is_match(s, p)
        if result == expected:
            print("True")
            num_passed += 1
        else:
            print("False")
    print(f"{num_passed}/{total_tests}")
if __name__ == '__main__':
    test_is_match()</t>
  </si>
  <si>
    <t>class ListNode:
    def __init__(self, val=0, next=None):
        self.val = val
        self.next = next
def merge_k_lists(lists):
    """
    Merges k sorted linked lists into one sorted linked list.
    Args:
        lists: A list of k sorted linked lists.
    Returns:
        The head of the merged sorted linked list.
    """
    import heapq
    heap = []
    for i, lst in enumerate(lists):
        if lst:
            heapq.heappush(heap, (lst.val, i, lst))
    dummy = ListNode()
    curr = dummy
    while heap:
        val, i, node = heapq.heappop(heap)
        curr.next = node
        curr = curr.next
        if node.next:
            heapq.heappush(heap, (node.next.val, i, node.next))
    return dummy.next
def linked_list_to_list(head):
    """
    Converts a linked list to a Python list.
    Args:
        head: The head of the linked list.
    Returns:
        A Python list representing the linked list.
    """
    result = []
    current = head
    while current:
        result.append(current.val)
        current = current.next
    return result
def list_to_linked_list(lst):
    """
    Converts a Python list to a linked list.
    Args:
        lst: The Python list.
    Returns:
        The head of the linked list.
    """
    dummy_head = ListNode(0)
    current = dummy_head
    for val in lst:
        current.next = ListNode(val)
        current = current.next
    return dummy_head.next
def test_merge_k_lists():
    """
    Tests the merge_k_lists function.
    """
    test_cases = [
        ([[1, 4, 5], [1, 3, 4], [2, 6]], [1, 1, 2, 3, 4, 4, 5, 6]),
        ([], []),
        ([[]], []),
        ([[1],[2],[3]], [1,2,3])
    ]
    num_passed = 0
    total_tests = len(test_cases)
    for lists_of_lists, expected_list in test_cases:
        linked_lists = []
        for lst in lists_of_lists:
            if lst:
                linked_lists.append(list_to_linked_list(lst))
            else:
                linked_lists.append(None)
        result_list = linked_list_to_list(merge_k_lists(linked_lists))
        if result_list == expected_list:
            print("True")
            num_passed += 1
        else:
            print("False")
    print(f"{num_passed}/{total_tests}")
if __name__ == '__main__':
    test_merge_k_lists()</t>
  </si>
  <si>
    <t>loops: 6, conditionals: 5</t>
  </si>
  <si>
    <t>def find_median_sorted_arrays(nums1, nums2):
    """
    Finds the median of two sorted arrays.
    Args:
        nums1: The first sorted array.
        nums2: The second sorted array.
    Returns:
        The median of the two sorted arrays.
    """
    merged_array = sorted(nums1 + nums2)
    total_length = len(merged_array)
    if total_length % 2 == 0:
        mid1 = merged_array[total_length // 2 - 1]
        mid2 = merged_array[total_length // 2]
        return (mid1 + mid2) / 2.0
    else:
        return float(merged_array[total_length // 2])
def test_find_median_sorted_arrays():
    """
    Tests the find_median_sorted_arrays function.
    """
    test_cases = [
        ([1, 3], [2], 2.0),
        ([1, 2], [3, 4], 2.5),
        ([0, 0], [0, 0], 0.0),
        ([], [1], 1.0),
        ([2], [], 2.0),
        ([1, 2, 5], [3, 4], 3.0),
        ([1, 3], [2, 4, 5], 3.0)
    ]
    correct_count = 0
    total_count = len(test_cases)
    for nums1, nums2, expected_output in test_cases:
        result = find_median_sorted_arrays(nums1, nums2)
        if abs(result - expected_output) &lt; 1e-5:  # Compare floating-point numbers with tolerance
            print("True")
            correct_count += 1
        else:
            print("False")
    print(f"{correct_count}/{total_count}")
if __name__ == "__main__":
    test_find_median_sorted_arrays()</t>
  </si>
  <si>
    <t>def is_match(s, p):
    """
    Implements regular expression matching with support for '.' and '*'.
    Args:
        s: The input string.
        p: The pattern.
    Returns:
        True if the pattern matches the entire string, False otherwise.
    """
    dp = [[False] * (len(p) + 1) for _ in range(len(s) + 1)]
    dp[0][0] = True
    for j in range(1, len(p) + 1):
        if p[j - 1] == '*':
            dp[0][j] = dp[0][j - 2]
    for i in range(1, len(s) + 1):
        for j in range(1, len(p) + 1):
            if p[j - 1] == '.' or p[j - 1] == s[i - 1]:
                dp[i][j] = dp[i - 1][j - 1]
            elif p[j - 1] == '*':
                dp[i][j] = dp[i][j - 2]
                if p[j - 2] == '.' or p[j - 2] == s[i - 1]:
                    dp[i][j] = dp[i][j] or dp[i - 1][j]
            else:
                dp[i][j] = False
    return dp[len(s)][len(p)]
def test_is_match():
    """
    Tests the is_match function.
    """
    test_cases = [
        ("aa", "a", False),
        ("aa", "a*", True),
        ("ab", ".*", True),
        ("aab", "c*a*b", True),
        ("mississippi", "mis*is*p*.", False),
        ("a", "ab*", True),
        ("ab", ".*c", False),
        ("aaa", "a*", True),
        ("aaa", "ab*a", False)
    ]
    correct_count = 0
    total_count = len(test_cases)
    for s, p, expected_output in test_cases:
        result = is_match(s, p)
        if result == expected_output:
            print("True")
            correct_count += 1
        else:
            print("False")
    print(f"{correct_count}/{total_count}")
if __name__ == "__main__":
    test_is_match()</t>
  </si>
  <si>
    <t>class ListNode:
    def __init__(self, val=0, next=None):
        self.val = val
        self.next = next
def merge_k_lists(lists):
    """
    Merges k sorted linked lists into one sorted linked list.
    Args:
        lists: A list of k sorted linked lists.
    Returns:
        The merged sorted linked list.
    """
    import heapq
    heap = []
    for i, head in enumerate(lists):
        if head:
            heapq.heappush(heap, (head.val, i, head))
    dummy = ListNode(0)
    curr = dummy
    while heap:
        val, i, node = heapq.heappop(heap)
        curr.next = node
        curr = curr.next
        if node.next:
            heapq.heappush(heap, (node.next.val, i, node.next))
    return dummy.next
def list_to_linked_list(lst):
    """
    Converts a list to a linked list.
    Args:
        lst: The list to convert.
    Returns:
        The linked list.
    """
    dummy_head = ListNode(0)
    current = dummy_head
    for val in lst:
        current.next = ListNode(val)
        current = current.next
    return dummy_head.next
def linked_list_to_list(head):
    """
    Converts a linked list to a list.
    Args:
        head: The head of the linked list.
    Returns:
        The list.
    """
    lst = []
    current = head
    while current:
        lst.append(current.val)
        current = current.next
    return lst
def test_merge_k_lists():
    """
    Tests the merge_k_lists function.
    """
    test_cases = [
        ([[1, 4, 5], [1, 3, 4], [2, 6]], [1, 1, 2, 3, 4, 4, 5, 6]),
        ([], []),
        ([[]], []),
        ([[1], [0]], [0, 1]),
        ([[2,6,8],[1,3,5],[7,9,10]], [1, 2, 3, 5, 6, 7, 8, 9, 10])
    ]
    correct_count = 0
    total_count = len(test_cases)
    for lists_of_lists, expected_output in test_cases:
        linked_lists = []
        for lst in lists_of_lists:
            linked_lists.append(list_to_linked_list(lst))
        result_list = linked_list_to_list(merge_k_lists(linked_lists))
        if result_list == expected_output:
            print("True")
            correct_count += 1
        else:
            print("False")
    print(f"{correct_count}/{total_count}")
if __name__ == "__main__":
    test_merge_k_lists()</t>
  </si>
  <si>
    <t>def find_median_sorted_arrays(nums1, nums2):
    """
    Finds the median of two sorted arrays.
    Args:
        nums1: The first sorted array.
        nums2: The second sorted array.
    Returns:
        The median of the two sorted arrays.
    """
    merged_array = sorted(nums1 + nums2)
    total_length = len(merged_array)
    if total_length % 2 == 0:
        mid1 = merged_array[total_length // 2 - 1]
        mid2 = merged_array[total_length // 2]
        return (mid1 + mid2) / 2.0
    else:
        return float(merged_array[total_length // 2])
def test_find_median_sorted_arrays():
    """
    Tests the find_median_sorted_arrays function.
    """
    test_cases = [
        ([1, 3], [2], 2.0),
        ([1, 2], [3, 4], 2.5),
        ([0, 0], [0, 0], 0.0),
        ([], [1], 1.0),
        ([2], [], 2.0),
        ([1, 2, 5], [3, 4], 3.0),
        ([1, 3], [2, 4, 5], 3.0)
    ]
    correct_count = 0
    total_count = len(test_cases)
    for nums1, nums2, expected_output in test_cases:
        result = find_median_sorted_arrays(nums1, nums2)
        if abs(result - expected_output) &lt; 1e-5:  # Account for floating-point precision
            print("True")
            correct_count += 1
        else:
            print("False")
    print(f"{correct_count}/{total_count}")
if __name__ == "__main__":
    test_find_median_sorted_arrays()</t>
  </si>
  <si>
    <t>def is_match(s, p):
    """
    Implements regular expression matching with support for '.' and '*'.
    Args:
        s: The input string.
        p: The pattern.
    Returns:
        True if the pattern matches the entire string, False otherwise.
    """
    dp = [[False] * (len(p) + 1) for _ in range(len(s) + 1)]
    dp[0][0] = True
    for j in range(1, len(p) + 1):
        if p[j - 1] == '*':
            dp[0][j] = dp[0][j - 2]
    for i in range(1, len(s) + 1):
        for j in range(1, len(p) + 1):
            if p[j - 1] == '.' or p[j - 1] == s[i - 1]:
                dp[i][j] = dp[i - 1][j - 1]
            elif p[j - 1] == '*':
                dp[i][j] = dp[i][j - 2]
                if p[j - 2] == '.' or p[j - 2] == s[i - 1]:
                    dp[i][j] = dp[i][j] or dp[i - 1][j]
            else:
                dp[i][j] = False
    return dp[len(s)][len(p)]
def test_is_match():
    """
    Tests the is_match function.
    """
    test_cases = [
        ("aa", "a", False),
        ("aa", "a*", True),
        ("ab", ".*", True),
        ("aab", "c*a*b", True),
        ("mississippi", "mis*is*p*.", False),
        ("a", "ab*", True),
        ("ab", ".*c", False),
        ("aaa", "a*", True),
        ("aaa", "ab*a", False),
        ("abc", "a.c", True)
    ]
    correct_count = 0
    total_count = len(test_cases)
    for s, p, expected_output in test_cases:
        result = is_match(s, p)
        if result == expected_output:
            print("True")
            correct_count += 1
        else:
            print("False")
    print(f"{correct_count}/{total_count}")
if __name__ == "__main__":
    test_is_match()</t>
  </si>
  <si>
    <t>class ListNode:
    def __init__(self, val=0, next=None):
        self.val = val
        self.next = next
def merge_k_lists(lists):
    """
    Merges k sorted linked lists into one sorted linked list.
    Args:
        lists: A list of k sorted linked lists.
    Returns:
        The merged sorted linked list.
    """
    import heapq
    heap = []
    for i, head in enumerate(lists):
        if head:
            heapq.heappush(heap, (head.val, i, head))
    dummy = ListNode(0)
    curr = dummy
    while heap:
        val, i, node = heapq.heappop(heap)
        curr.next = node
        curr = curr.next
        if node.next:
            heapq.heappush(heap, (node.next.val, i, node.next))
    return dummy.next
def list_to_linked_list(lst):
    """
    Converts a list to a linked list.
    Args:
        lst: The list to convert.
    Returns:
        The linked list.
    """
    dummy_head = ListNode(0)
    current = dummy_head
    for val in lst:
        current.next = ListNode(val)
        current = current.next
    return dummy_head.next
def linked_list_to_list(head):
    """
    Converts a linked list to a list.
    Args:
        head: The head of the linked list.
    Returns:
        The list.
    """
    lst = []
    current = head
    while current:
        lst.append(current.val)
        current = current.next
    return lst
def test_merge_k_lists():
    """
    Tests the merge_k_lists function.
    """
    test_cases = [
        ([[1, 4, 5], [1, 3, 4], [2, 6]], [1, 1, 2, 3, 4, 4, 5, 6]),
        ([], []),
        ([[]], []),
        ([[1], [2], [3]], [1, 2, 3]),
        ([[1, 2], [3, 4], [5, 6]], [1, 2, 3, 4, 5, 6]),
        ([[1, 5], [2, 4], [3, 6]], [1, 2, 3, 4, 5, 6])
    ]
    correct_count = 0
    total_count = len(test_cases)
    for lists_of_lists, expected_output in test_cases:
        linked_lists = [list_to_linked_list(lst) for lst in lists_of_lists]
        result_list = linked_list_to_list(merge_k_lists(linked_lists))
        if result_list == expected_output:
            print("True")
            correct_count += 1
        else:
            print("False")
    print(f"{correct_count}/{total_count}")
if __name__ == "__main__":
    test_merge_k_lists()</t>
  </si>
  <si>
    <t>class ListNode:
    def __init__(self, val=0, next=None):
        self.val = val
        self.next = next
def add_two_numbers(l1, l2):
    carry = 0
    dummy_head = ListNode(0)
    current = dummy_head
    while l1 or l2 or carry:
        val1 = l1.val if l1 else 0
        val2 = l2.val if l2 else 0
        sum_val = val1 + val2 + carry
        carry = sum_val // 10
        digit = sum_val % 10
        current.next = ListNode(digit)
        current = current.next
        if l1:
            l1 = l1.next
        if l2:
            l2 = l2.next
    return dummy_head.next
def list_to_linked_list(lst):
    dummy_head = ListNode(0)
    current = dummy_head
    for val in lst:
        current.next = ListNode(val)
        current = current.next
    return dummy_head.next
def linked_list_to_list(head):
    lst = []
    current = head
    while current:
        lst.append(current.val)
        current = current.next
    return lst
def test_add_two_numbers():
    tests = [
        ([2, 4, 3], [5, 6, 4], [7, 0, 8]),
        ([0], [0], [0]),
        ([9, 9, 9, 9, 9, 9, 9], [9, 9, 9, 9], [8, 9, 9, 9, 0, 0, 0, 1])
    ]
    correct_count = 0
    total_count = len(tests)
    for l1_list, l2_list, expected_list in tests:
        l1 = list_to_linked_list(l1_list)
        l2 = list_to_linked_list(l2_list)
        result_head = add_two_numbers(l1, l2)
        result_list = linked_list_to_list(result_head)
        if result_list == expected_list:
            print(True)
            correct_count += 1
        else:
            print(False)
    print(f"{correct_count}/{total_count}")
if __name__ == "__main__":
    test_add_two_numbers()</t>
  </si>
  <si>
    <t>def length_of_longest_substring(s):
    """
    Finds the length of the longest substring without repeating characters.
    Args:
        s: The input string.
    Returns:
        The length of the longest substring without repeating characters.
    """
    char_index_map = {}
    start = 0
    max_length = 0
    for i, char in enumerate(s):
        if char in char_index_map and char_index_map[char] &gt;= start:
            start = char_index_map[char] + 1
        char_index_map[char] = i
        max_length = max(max_length, i - start + 1)
    return max_length
def test_length_of_longest_substring():
    """
    Tests the length_of_longest_substring function with various test cases.
    """
    tests = [
        ("abcabcbb", 3),
        ("bbbbb", 1),
        ("pwwkew", 3),
        ("", 0),
        (" ", 1),
        ("au", 2),
        ("dvdf", 3)
    ]
    correct_count = 0
    total_count = len(tests)
    for input_string, expected_output in tests:
        result = length_of_longest_substring(input_string)
        if result == expected_output:
            print(True)
            correct_count += 1
        else:
            print(False)
    print(f"{correct_count}/{total_count}")
if __name__ == "__main__":
    test_length_of_longest_substring()</t>
  </si>
  <si>
    <t>def find_median_sorted_arrays(nums1, nums2):
    """
    Finds the median of two sorted arrays.
    Args:
        nums1: The first sorted array.
        nums2: The second sorted array.
    Returns:
        The median of the two sorted arrays.
    """
    merged_array = sorted(nums1 + nums2)
    total_length = len(merged_array)
    if total_length % 2 == 0:
        mid1 = merged_array[total_length // 2 - 1]
        mid2 = merged_array[total_length // 2]
        return (mid1 + mid2) / 2.0
    else:
        return float(merged_array[total_length // 2])
def test_find_median_sorted_arrays():
    """
    Tests the find_median_sorted_arrays function with various test cases.
    """
    tests = [
        ([1, 3], [2], 2.0),
        ([1, 2], [3, 4], 2.5),
        ([0, 0], [0, 0], 0.0),
        ([], [1], 1.0),
        ([2], [], 2.0),
        ([1,2,5], [3,4,6], 3.5)
    ]
    correct_count = 0
    total_count = len(tests)
    for nums1, nums2, expected_output in tests:
        result = find_median_sorted_arrays(nums1, nums2)
        if abs(result - expected_output) &lt; 1e-5:  # Allow for small floating-point errors
            print(True)
            correct_count += 1
        else:
            print(False)
    print(f"{correct_count}/{total_count}")
if __name__ == "__main__":
    test_find_median_sorted_arrays()</t>
  </si>
  <si>
    <t>def is_match(s, p):
    """
    Implements regular expression matching with support for '.' and '*'.
    Args:
        s: The input string.
        p: The pattern.
    Returns:
        True if the pattern matches the entire string, False otherwise.
    """
    memo = {}  # Use memoization to avoid redundant calculations
    def dp(i, j):
        if (i, j) in memo:
            return memo[(i, j)]
        if j == 0:
            return i == 0
        if p[j - 1] != '*':
            if i &gt; 0 and (s[i - 1] == p[j - 1] or p[j - 1] == '.'):
                memo[(i, j)] = dp(i - 1, j - 1)
                return memo[(i, j)]
            else:
                memo[(i, j)] = False
                return False
        else:
            # Case 1: Zero occurrences of the preceding element
            if dp(i, j - 2):
                memo[(i, j)] = True
                return True
            # Case 2: One or more occurrences of the preceding element
            if i &gt; 0 and (s[i - 1] == p[j - 2] or p[j - 2] == '.'):
                memo[(i, j)] = dp(i - 1, j)
                return memo[(i, j)]
            else:
                memo[(i, j)] = False
                return False
    return dp(len(s), len(p))
def test_is_match():
    """
    Tests the is_match function with various test cases.
    """
    tests = [
        ("aa", "a", False),
        ("aa", "a*", True),
        ("ab", ".*", True),
        ("aab", "c*a*b", True),
        ("mississippi", "mis*is*p*.", False),
        ("a", "ab*", True),
        ("bbbaccbbba", "b*a*a*.c*b*b*a*", True),
    ]
    correct_count = 0
    total_count = len(tests)
    for s, p, expected_output in tests:
        result = is_match(s, p)
        if result == expected_output:
            print(True)
            correct_count += 1
        else:
            print(False)
    print(f"{correct_count}/{total_count}")
if __name__ == "__main__":
    test_is_match()</t>
  </si>
  <si>
    <t>loops: 1, conditionals: 8</t>
  </si>
  <si>
    <t>class ListNode:
    def __init__(self, val=0, next=None):
        self.val = val
        self.next = next
def merge_k_lists(lists):
    """
    Merges k sorted linked lists into one sorted linked list.
    Args:
        lists: A list of k sorted linked lists.
    Returns:
        The head of the merged sorted linked list.
    """
    import heapq
    heap = []
    for i, head in enumerate(lists):
        if head:
            heapq.heappush(heap, (head.val, i, head))
    dummy = ListNode(0)
    curr = dummy
    while heap:
        val, i, node = heapq.heappop(heap)
        curr.next = node
        curr = curr.next
        if node.next:
            heapq.heappush(heap, (node.next.val, i, node.next))
    return dummy.next
def list_to_linked_list(lst):
    dummy_head = ListNode(0)
    current = dummy_head
    for val in lst:
        current.next = ListNode(val)
        current = current.next
    return dummy_head.next
def linked_list_to_list(head):
    lst = []
    current = head
    while current:
        lst.append(current.val)
        current = current.next
    return lst
def test_merge_k_lists():
    """
    Tests the merge_k_lists function with various test cases.
    """
    tests = [
        ([[1, 4, 5], [1, 3, 4], [2, 6]], [1, 1, 2, 3, 4, 4, 5, 6]),
        ([], []),
        ([[]], []),
        ([[1],[2],[3]], [1,2,3])
    ]
    correct_count = 0
    total_count = len(tests)
    for input_lists, expected_output in tests:
        linked_lists = []
        for lst in input_lists:
            linked_lists.append(list_to_linked_list(lst))
        result_head = merge_k_lists(linked_lists)
        result_list = linked_list_to_list(result_head)
        if result_list == expected_output:
            print(True)
            correct_count += 1
        else:
            print(False)
    print(f"{correct_count}/{total_count}")
if __name__ == "__main__":
    test_merge_k_lists()</t>
  </si>
  <si>
    <t>def is_match(s, p):
    """
    Implements regular expression matching with support for '.' and '*'.
    Args:
        s: The input string.
        p: The pattern.
    Returns:
        True if the pattern matches the entire input string, False otherwise.
    """
    dp = [[False] * (len(p) + 1) for _ in range(len(s) + 1)]
    dp[0][0] = True
    for j in range(1, len(p) + 1):
        if p[j - 1] == '*':
            dp[0][j] = dp[0][j - 2]
    for i in range(1, len(s) + 1):
        for j in range(1, len(p) + 1):
            if p[j - 1] == '.' or p[j - 1] == s[i - 1]:
                dp[i][j] = dp[i - 1][j - 1]
            elif p[j - 1] == '*':
                dp[i][j] = dp[i][j - 2]
                if p[j - 2] == '.' or p[j - 2] == s[i - 1]:
                    dp[i][j] = dp[i][j] or dp[i - 1][j]
            else:
                dp[i][j] = False
    return dp[len(s)][len(p)]
def test_is_match():
    """
    Tests the is_match function.
    """
    test_cases = [
        ("aa", "a", False),
        ("aa", "a*", True),
        ("ab", ".*", True),
        ("aab", "c*a*b", True),
        ("mississippi", "mis*is*p*.", False),
        ("a", "ab*", True),
        ("a", ".*a", False),
        ("aaa", "a*a", True),
        ("abcd", "d*", False),
        ("", "a*", True),
        ("", ".*", True),
        ("abc", "abc", True),
        ("abc", "ab.", True),
        ("abc", "ab..", False)
    ]
    correct_count = 0
    total_count = len(test_cases)
    for s, p, expected_output in test_cases:
        result = is_match(s, p)
        if result == expected_output:
            print("True")
            correct_count += 1
        else:
            print("False")
    print(f"{correct_count}/{total_count}")
if __name__ == "__main__":
    test_is_match()</t>
  </si>
  <si>
    <t>True_x000D_
True_x000D_
True_x000D_
True_x000D_
True_x000D_
True_x000D_
False_x000D_
True_x000D_
True_x000D_
True_x000D_
True_x000D_
True_x000D_
True_x000D_
True_x000D_
13/14</t>
  </si>
  <si>
    <t>def find_median_sorted_arrays(nums1, nums2):
    """
    Finds the median of two sorted arrays.
    Args:
        nums1: The first sorted array.
        nums2: The second sorted array.
    Returns:
        The median of the two sorted arrays.
    """
    merged_array = sorted(nums1 + nums2)
    total_length = len(merged_array)
    if total_length % 2 == 0:
        mid1 = merged_array[total_length // 2 - 1]
        mid2 = merged_array[total_length // 2]
        return (mid1 + mid2) / 2.0
    else:
        return float(merged_array[total_length // 2])
def test_find_median_sorted_arrays():
    """
    Tests the find_median_sorted_arrays function.
    """
    test_cases = [
        ([1, 3], [2], 2.0),
        ([1, 2], [3, 4], 2.5),
        ([0, 0], [0, 0], 0.0),
        ([], [1], 1.0),
        ([2], [], 2.0),
        ([1,2,5], [3,4,6], 3.5)
    ]
    correct_count = 0
    total_count = len(test_cases)
    for nums1, nums2, expected_output in test_cases:
        result = find_median_sorted_arrays(nums1, nums2)
        if abs(result - expected_output) &lt; 1e-5:  # Compare floating-point numbers with tolerance
            print("True")
            correct_count += 1
        else:
            print("False")
    print(f"{correct_count}/{total_count}")
if __name__ == "__main__":
    test_find_median_sorted_arrays()</t>
  </si>
  <si>
    <t>def is_match(s, p):
    """
    Implements regular expression matching with support for '.' and '*'.
    Args:
        s: The input string.
        p: The pattern.
    Returns:
        True if the pattern matches the entire string, False otherwise.
    """
    dp = [[False] * (len(p) + 1) for _ in range(len(s) + 1)]
    dp[0][0] = True
    for j in range(1, len(p) + 1):
        if p[j - 1] == '*':
            dp[0][j] = dp[0][j - 2]
    for i in range(1, len(s) + 1):
        for j in range(1, len(p) + 1):
            if p[j - 1] == '.' or p[j - 1] == s[i - 1]:
                dp[i][j] = dp[i - 1][j - 1]
            elif p[j - 1] == '*':
                dp[i][j] = dp[i][j - 2]
                if p[j - 2] == '.' or p[j - 2] == s[i - 1]:
                    dp[i][j] = dp[i][j] or dp[i - 1][j]
            else:
                dp[i][j] = False
    return dp[len(s)][len(p)]
def test_is_match():
    """
    Tests the is_match function.
    """
    test_cases = [
        ("aa", "a", False),
        ("aa", "a*", True),
        ("ab", ".*", True),
        ("aab", "c*a*b", True),
        ("mississippi", "mis*is*p*.", False),
        ("a", "ab*", True),
        ("ab", ".*c", False),
        ("aaa", "a*a", True),
        ("a", ".*..a*", False)
    ]
    correct_count = 0
    total_count = len(test_cases)
    for s, p, expected_output in test_cases:
        result = is_match(s, p)
        if result == expected_output:
            print("True")
            correct_count += 1
        else:
            print("False")
    print(f"{correct_count}/{total_count}")
if __name__ == "__main__":
    test_is_match()</t>
  </si>
  <si>
    <t>class ListNode:
    def __init__(self, val=0, next=None):
        self.val = val
        self.next = next
def merge_k_lists(lists):
    """
    Merges k sorted linked lists into one sorted linked list.
    Args:
        lists: A list of k sorted linked lists.
    Returns:
        The head of the merged sorted linked list.
    """
    import heapq
    heap = []
    for i, head in enumerate(lists):
        if head:
            heapq.heappush(heap, (head.val, i, head))
    dummy = ListNode(0)
    curr = dummy
    while heap:
        val, i, node = heapq.heappop(heap)
        curr.next = node
        curr = curr.next
        if node.next:
            heapq.heappush(heap, (node.next.val, i, node.next))
    return dummy.next
def linked_list_to_list(head):
    """
    Converts a linked list to a Python list.
    Args:
        head: The head of the linked list.
    Returns:
        A Python list representing the linked list.
    """
    result = []
    current = head
    while current:
        result.append(current.val)
        current = current.next
    return result
def list_to_linked_list(lst):
    """
    Converts a Python list to a linked list.
    Args:
        lst: The Python list.
    Returns:
        The head of the linked list.
    """
    dummy_head = ListNode(0)
    current = dummy_head
    for val in lst:
        current.next = ListNode(val)
        current = current.next
    return dummy_head.next
def test_merge_k_lists():
    """
    Tests the merge_k_lists function.
    """
    test_cases = [
        ([[1, 4, 5], [1, 3, 4], [2, 6]], [1, 1, 2, 3, 4, 4, 5, 6]),
        ([], []),
        ([[]], []),
        ([[1],[0]], [0,1])
    ]
    correct_count = 0
    total_count = len(test_cases)
    for lists_of_lists, expected_list in test_cases:
        linked_lists = []
        for lst in lists_of_lists:
            linked_lists.append(list_to_linked_list(lst))
        result_head = merge_k_lists(linked_lists)
        result_list = linked_list_to_list(result_head)
        if result_list == expected_list:
            print("True")
            correct_count += 1
        else:
            print("False")
    print(f"{correct_count}/{total_count}")
if __name__ == "__main__":
    test_merge_k_lists()</t>
  </si>
  <si>
    <t>class ListNode:
    def __init__(self, val=0, next=None):
        self.val = val
        self.next = next
def addTwoNumbers(l1, l2):
    dummyHead = ListNode(0)
    current = dummyHead
    carry = 0
    while l1 or l2 or carry:
        x = l1.val if l1 else 0
        y = l2.val if l2 else 0
        sum = x + y + carry
        carry = sum // 10
        current.next = ListNode(sum % 10)
        current = current.next
        if l1:
            l1 = l1.next
        if l2:
            l2 = l2.next
    return dummyHead.next
def list_to_linked_list(lst):
    dummyHead = ListNode(0)
    current = dummyHead
    for val in lst:
        current.next = ListNode(val)
        current = current.next
    return dummyHead.next
def linked_list_to_list(head):
    lst = []
    current = head
    while current:
        lst.append(current.val)
        current = current.next
    return lst
def test_addTwoNumbers():
    test_cases = [
        ([2, 4, 3], [5, 6, 4], [7, 0, 8]),
        ([0], [0], [0]),
        ([9, 9, 9, 9, 9, 9, 9], [9, 9, 9, 9], [8, 9, 9, 9, 0, 0, 0, 1])
    ]
    correct_count = 0
    total_tests = len(test_cases)
    for l1_list, l2_list, expected_list in test_cases:
        l1 = list_to_linked_list(l1_list)
        l2 = list_to_linked_list(l2_list)
        result_linked_list = addTwoNumbers(l1, l2)
        result_list = linked_list_to_list(result_linked_list)
        if result_list == expected_list:
            print(True)
            correct_count += 1
        else:
            print(False)
    print(f"{correct_count}/{total_tests}")
if __name__ == '__main__':
    test_addTwoNumbers()</t>
  </si>
  <si>
    <t>def lengthOfLongestSubstring(s):
    """
    Given a string s, find the length of the longest substring without repeating characters.
    Example 1:
    Input: s = "abcabcbb"
    Output: 3
    Explanation: The answer is "abc", with the length of 3.
    Example 2:
    Input: s = "bbbbb"
    Output: 1
    Explanation: The answer is "b", with the length of 1.
    Example 3:
    Input: s = "pwwkew"
    Output: 3
    Explanation: The answer is "wke", with the length of 3.
    Notice that the answer must be a substring, "pwke" is a subsequence and not a substring.
    Example 4:
    Input: s = ""
    Output: 0
    Constraints:
    0 &lt;= s.length &lt;= 5 * 104
    s consists of English letters, digits, symbols and spaces.
    """
    n = len(s)
    max_length = 0
    char_index_map = {}
    start = 0
    for end in range(n):
        if s[end] in char_index_map:
            start = max(start, char_index_map[s[end]] + 1)
        char_index_map[s[end]] = end
        max_length = max(max_length, end - start + 1)
    return max_length
def test_lengthOfLongestSubstring():
    test_cases = [
        ("abcabcbb", 3),
        ("bbbbb", 1),
        ("pwwkew", 3),
        ("", 0)
    ]
    correct_count = 0
    total_tests = len(test_cases)
    for input_string, expected_output in test_cases:
        result = lengthOfLongestSubstring(input_string)
        if result == expected_output:
            print(True)
            correct_count += 1
        else:
            print(False)
    print(f"{correct_count}/{total_tests}")
if __name__ == '__main__':
    test_lengthOfLongestSubstring()</t>
  </si>
  <si>
    <t>def findMedianSortedArrays(nums1, nums2):
    """
    Given two sorted arrays nums1 and nums2 of size m and n respectively, return the median of the two sorted arrays.
    Example 1:
    Input: nums1 = [1,3], nums2 = [2]
    Output: 2.00000
    Explanation: merged array = [1,2,3] and median is 2.
    Example 2:
    Input: nums1 = [1,2], nums2 = [3,4]
    Output: 2.50000
    Explanation: merged array = [1,2,3,4] and median is (2 + 3) / 2 = 2.5.
    Example 3:
    Input: nums1 = [0,0], nums2 = [0,0]
    Output: 0.00000
    Example 4:
    Input: nums1 = [], nums2 = [1]
    Output: 1.00000
    Example 5:
    Input: nums1 = [2], nums2 = []
    Output: 2.00000
    Constraints:
    nums1.length == m
    nums2.length == n
    0 &lt;= m &lt;= 1000
    0 &lt;= n &lt;= 1000
    1 &lt;= m + n &lt;= 2000
    -106 &lt;= nums1[i], nums2[i] &lt;= 106
    Follow up: The overall run time complexity should be O(log (m+n)).
    """
    merged_array = sorted(nums1 + nums2)
    total_length = len(merged_array)
    if total_length % 2 == 0:
        mid1 = merged_array[total_length // 2 - 1]
        mid2 = merged_array[total_length // 2]
        return (mid1 + mid2) / 2.0
    else:
        return float(merged_array[total_length // 2])
def test_findMedianSortedArrays():
    test_cases = [
        ([1, 3], [2], 2.0),
        ([1, 2], [3, 4], 2.5),
        ([0, 0], [0, 0], 0.0),
        ([], [1], 1.0),
        ([2], [], 2.0)
    ]
    correct_count = 0
    total_tests = len(test_cases)
    for nums1, nums2, expected_output in test_cases:
        result = findMedianSortedArrays(nums1, nums2)
        if abs(result - expected_output) &lt; 1e-5:  # Account for potential floating-point inaccuracies
            print(True)
            correct_count += 1
        else:
            print(False)
    print(f"{correct_count}/{total_tests}")
if __name__ == '__main__':
    test_findMedianSortedArrays()</t>
  </si>
  <si>
    <t>def isMatch(s, p):
    """
    Given an input string (s) and a pattern (p), implement regular expression matching with support for '.' and '*' where: 
    '.' Matches any single character.​​​​
    '*' Matches zero or more of the preceding element.
    The matching should cover the entire input string (not partial).
    Example 1:
    Input: s = "aa", p = "a"
    Output: false
    Explanation: "a" does not match the entire string "aa".
    Example 2:
    Input: s = "aa", p = "a*"
    Output: true
    Explanation: '*' means zero or more of the preceding element, 'a'. Therefore, by repeating 'a' once, it becomes "aa".
    Example 3:
    Input: s = "ab", p = ".*"
    Output: true
    Explanation: ".*" means "zero or more (*) of any character (.)".
    Example 4:
    Input: s = "aab", p = "c*a*b"
    Output: true
    Explanation: c can be repeated 0 times, a can be repeated 1 time. Therefore, it matches "aab".
    Example 5:
    Input: s = "mississippi", p = "mis*is*p*."
    Output: false
    Constraints:
    0 &lt;= s.length &lt;= 20
    0 &lt;= p.length &lt;= 30
    s contains only lowercase English letters.
    p contains only lowercase English letters, '.', and '*'.
    It is guaranteed for each appearance of the character '*', there will be a previous valid character to match.
    """
    m, n = len(s), len(p)
    dp = [[False] * (n + 1) for _ in range(m + 1)]
    dp[0][0] = True
    for j in range(1, n + 1):
        if p[j - 1] == '*':
            dp[0][j] = dp[0][j - 2]
    for i in range(1, m + 1):
        for j in range(1, n + 1):
            if p[j - 1] == '.' or p[j - 1] == s[i - 1]:
                dp[i][j] = dp[i - 1][j - 1]
            elif p[j - 1] == '*':
                dp[i][j] = dp[i][j - 2]
                if p[j - 2] == '.' or p[j - 2] == s[i - 1]:
                    dp[i][j] = dp[i][j] or dp[i - 1][j]
            else:
                dp[i][j] = False
    return dp[m][n]
def test_isMatch():
    test_cases = [
        ("aa", "a", False),
        ("aa", "a*", True),
        ("ab", ".*", True),
        ("aab", "c*a*b", True),
        ("mississippi", "mis*is*p*.", False)
    ]
    correct_count = 0
    total_tests = len(test_cases)
    for s, p, expected_output in test_cases:
        result = isMatch(s, p)
        if result == expected_output:
            print(True)
            correct_count += 1
        else:
            print(False)
    print(f"{correct_count}/{total_tests}")
if __name__ == '__main__':
    test_isMatch()</t>
  </si>
  <si>
    <t>class ListNode:
    def __init__(self, val=0, next=None):
        self.val = val
        self.next = next
def mergeKLists(lists):
    """
    You are given an array of k linked-lists lists, each linked-list is sorted in ascending order.
    Merge all the linked-lists into one sorted linked-list and return it.
    Example 1:
    Input: lists = [[1,4,5],[1,3,4],[2,6]]
    Output: [1,1,2,3,4,4,5,6]
    Explanation: The linked-lists are:
    [
      1-&gt;4-&gt;5,
      1-&gt;3-&gt;4,
      2-&gt;6
    ]
    merging them into one sorted list:
    1-&gt;1-&gt;2-&gt;3-&gt;4-&gt;4-&gt;5-&gt;6
    Example 2:
    Input: lists = []
    Output: []
    Example 3:
    Input: lists = [[]]
    Output: []
    Constraints:
    k == lists.length
    0 &lt;= k &lt;= 10^4
    0 &lt;= lists[i].length &lt;= 500
    -10^4 &lt;= lists[i][j] &lt;= 10^4
    lists[i] is sorted in ascending order.
    The sum of lists[i].length won't exceed 10^4.
    """
    import heapq
    heap = []
    for i, linked_list in enumerate(lists):
      if linked_list:
          heapq.heappush(heap, (linked_list.val, i, linked_list))
    dummy = ListNode(0)
    curr = dummy
    while heap:
      val, list_idx, node = heapq.heappop(heap)
      curr.next = node
      curr = curr.next
      if node.next:
        heapq.heappush(heap, (node.next.val, list_idx, node.next))
    return dummy.next
def list_to_linked_list(lst):
    dummyHead = ListNode(0)
    current = dummyHead
    for val in lst:
        current.next = ListNode(val)
        current = current.next
    return dummyHead.next
def linked_list_to_list(head):
    lst = []
    current = head
    while current:
        lst.append(current.val)
        current = current.next
    return lst
def test_mergeKLists():
    test_cases = [
        ([[1,4,5],[1,3,4],[2,6]], [1,1,2,3,4,4,5,6]),
        ([], []),
        ([[]], [])
    ]
    correct_count = 0
    total_tests = len(test_cases)
    def lists_to_linked_lists(list_of_lists):
      linked_list_array = []
      for lst in list_of_lists:
        if lst:
          linked_list_array.append(list_to_linked_list(lst))
        else:
          linked_list_array.append(None)
      return linked_list_array
    for lists_input, expected_output in test_cases:
        lists_as_linked_lists = lists_to_linked_lists(lists_input)
        result_linked_list = mergeKLists(lists_as_linked_lists)
        if result_linked_list is None:
           result = []
        else:
           result = linked_list_to_list(result_linked_list)
        if result == expected_output:
            print(True)
            correct_count += 1
        else:
            print(False)
    print(f"{correct_count}/{total_tests}")
if __name__ == '__main__':
    test_mergeKLists()</t>
  </si>
  <si>
    <t>loops: 6, conditionals: 6</t>
  </si>
  <si>
    <t>gemini-2.0-pro-exp-02-05</t>
  </si>
  <si>
    <t>class ListNode:
    def __init__(self, val=0, next=None):
        self.val = val
        self.next = next
def addTwoNumbers(l1, l2):
    dummy_head = ListNode(0)
    current = dummy_head
    carry = 0
    while l1 or l2 or carry:
        val1 = l1.val if l1 else 0
        val2 = l2.val if l2 else 0
        total_sum = val1 + val2 + carry
        carry = total_sum // 10
        digit = total_sum % 10
        current.next = ListNode(digit)
        current = current.next
        if l1:
            l1 = l1.next
        if l2:
            l2 = l2.next
    return dummy_head.next
def list_to_linked_list(lst):
    dummy_head = ListNode(0)
    current = dummy_head
    for val in lst:
        current.next = ListNode(val)
        current = current.next
    return dummy_head.next
def linked_list_to_list(head):
    lst = []
    while head:
        lst.append(head.val)
        head = head.next
    return lst
def run_tests(addTwoNumbers):
    test_cases = [
        ([2, 4, 3], [5, 6, 4], [7, 0, 8]),
        ([0], [0], [0]),
        ([9, 9, 9, 9, 9, 9, 9], [9, 9, 9, 9], [8, 9, 9, 9, 0, 0, 0, 1]),
        ([9,9], [1], [0,0,1])
    ]
    correct_count = 0
    total_tests = len(test_cases)
    for l1_list, l2_list, expected_list in test_cases:
        l1 = list_to_linked_list(l1_list)
        l2 = list_to_linked_list(l2_list)
        result = addTwoNumbers(l1, l2)
        result_list = linked_list_to_list(result)
        if result_list == expected_list:
            print("True")
            correct_count += 1
        else:
            print("False")
            print(f"  Input: l1={l1_list}, l2={l2_list}")
            print(f"  Expected: {expected_list}")
            print(f"  Got: {result_list}")
    print(f"{correct_count}/{total_tests}")
run_tests(addTwoNumbers)</t>
  </si>
  <si>
    <t>def lengthOfLongestSubstring(s):
    char_index_map = {}
    start = 0
    max_length = 0
    for end, char in enumerate(s):
        if char in char_index_map and char_index_map[char] &gt;= start:
            start = char_index_map[char] + 1
        char_index_map[char] = end
        max_length = max(max_length, end - start + 1)
    return max_length
def run_tests(lengthOfLongestSubstring):
    test_cases = [
        ("abcabcbb", 3),
        ("bbbbb", 1),
        ("pwwkew", 3),
        ("", 0),
        (" ", 1),
        ("au", 2),
        ("dvdf", 3)
    ]
    correct_count = 0
    total_tests = len(test_cases)
    for s, expected in test_cases:
        result = lengthOfLongestSubstring(s)
        if result == expected:
            print("True")
            correct_count += 1
        else:
            print("False")
            print(f"  Input: s = \"{s}\"")
            print(f"  Expected: {expected}")
            print(f"  Got: {result}")
    print(f"{correct_count}/{total_tests}")
run_tests(lengthOfLongestSubstring)</t>
  </si>
  <si>
    <t>loops: 2, conditionals: 2</t>
  </si>
  <si>
    <t>def findMedianSortedArrays(nums1, nums2):
    merged = []
    i = 0
    j = 0
    while i &lt; len(nums1) and j &lt; len(nums2):
        if nums1[i] &lt;= nums2[j]:
            merged.append(nums1[i])
            i += 1
        else:
            merged.append(nums2[j])
            j += 1
    while i &lt; len(nums1):
        merged.append(nums1[i])
        i += 1
    while j &lt; len(nums2):
        merged.append(nums2[j])
        j += 1
    total_length = len(merged)
    if total_length % 2 == 0:
        return (merged[total_length // 2 - 1] + merged[total_length // 2]) / 2.0
    else:
        return float(merged[total_length // 2])
def run_tests(findMedianSortedArrays):
    test_cases = [
        ([1, 3], [2], 2.0),
        ([1, 2], [3, 4], 2.5),
        ([0, 0], [0, 0], 0.0),
        ([], [1], 1.0),
        ([2], [], 2.0),
        ([1,2,3], [4,5,6], 3.5)
    ]
    correct_count = 0
    total_tests = len(test_cases)
    for nums1, nums2, expected in test_cases:
        result = findMedianSortedArrays(nums1, nums2)
        if result == expected:
            print("True")
            correct_count += 1
        else:
            print("False")
            print(f"  Input: nums1 = {nums1}, nums2 = {nums2}")
            print(f"  Expected: {expected}")
            print(f"  Got: {result}")
    print(f"{correct_count}/{total_tests}")
run_tests(findMedianSortedArrays)</t>
  </si>
  <si>
    <t>def isMatch(s, p):
    m, n = len(s), len(p)
    dp = [[False] * (n + 1) for _ in range(m + 1)]
    dp[0][0] = True
    for j in range(1, n + 1):
        if p[j - 1] == '*':
            dp[0][j] = dp[0][j - 2]
    for i in range(1, m + 1):
        for j in range(1, n + 1):
            if p[j - 1] == '.' or p[j - 1] == s[i - 1]:
                dp[i][j] = dp[i - 1][j - 1]
            elif p[j - 1] == '*':
                dp[i][j] = dp[i][j - 2]
                if p[j - 2] == '.' or p[j - 2] == s[i - 1]:
                    dp[i][j] = dp[i][j] or dp[i - 1][j]
    return dp[m][n]
def run_tests(isMatch):
    test_cases = [
        ("aa", "a", False),
        ("aa", "a*", True),
        ("ab", ".*", True),
        ("aab", "c*a*b", True),
        ("mississippi", "mis*is*p*.", False),
        ("mississippi", "mis*is*ip*.", True),
        ("", "c*", True),
        ("", ".*", True),
        ("a", "", False),
        ("ab", ".*c", False)
    ]
    correct_count = 0
    total_tests = len(test_cases)
    for s, p, expected in test_cases:
        result = isMatch(s, p)
        if result == expected:
            print("True")
            correct_count += 1
        else:
            print("False")
            print(f"  Input: s = \"{s}\", p = \"{p}\"")
            print(f"  Expected: {expected}")
            print(f"  Got: {result}")
    print(f"{correct_count}/{total_tests}")
run_tests(isMatch)</t>
  </si>
  <si>
    <t>import heapq
class ListNode:
    def __init__(self, val=0, next=None):
        self.val = val
        self.next = next
    def __lt__(self, other):
        return self.val &lt; other.val
def mergeKLists(lists):
    dummy = ListNode(-1)
    tail = dummy
    heap = []
    for i, lst in enumerate(lists):
        if lst:
            heapq.heappush(heap, (lst.val, i, lst))
    while heap:
        val, i, node = heapq.heappop(heap)
        tail.next = node
        tail = tail.next
        if node.next:
            heapq.heappush(heap, (node.next.val, i, node.next))
    return dummy.next
def list_to_linked_list(lst):
    dummy_head = ListNode(0)
    current = dummy_head
    for val in lst:
        current.next = ListNode(val)
        current = current.next
    return dummy_head.next
def linked_list_to_list(head):
    lst = []
    while head:
        lst.append(head.val)
        head = head.next
    return lst
def run_tests(mergeKLists):
    test_cases = [
        ([[1, 4, 5], [1, 3, 4], [2, 6]], [1, 1, 2, 3, 4, 4, 5, 6]),
        ([], []),
        ([[]], []),
        ([[1], [0]], [0,1])
    ]
    correct_count = 0
    total_tests = len(test_cases)
    for lists_input, expected_list in test_cases:
        linked_lists = [list_to_linked_list(lst) for lst in lists_input]
        result = mergeKLists(linked_lists)
        result_list = linked_list_to_list(result)
        if result_list == expected_list:
            print("True")
            correct_count += 1
        else:
            print("False")
            print(f"  Input: lists = {lists_input}")
            print(f"  Expected: {expected_list}")
            print(f"  Got: {result_list}")
    print(f"{correct_count}/{total_tests}")
run_tests(mergeKLists)</t>
  </si>
  <si>
    <t>loops: 5, conditionals: 3</t>
  </si>
  <si>
    <t>class ListNode:
    def __init__(self, val=0, next=None):
        self.val = val
        self.next = next
def addTwoNumbers(l1, l2):
    dummy_head = ListNode(0)
    current = dummy_head
    carry = 0
    while l1 or l2 or carry:
        val1 = l1.val if l1 else 0
        val2 = l2.val if l2 else 0
        total_sum = val1 + val2 + carry
        carry = total_sum // 10
        digit = total_sum % 10
        current.next = ListNode(digit)
        current = current.next
        if l1:
            l1 = l1.next
        if l2:
            l2 = l2.next
    return dummy_head.next
def list_to_linked_list(lst):
    dummy_head = ListNode(0)
    current = dummy_head
    for val in lst:
        current.next = ListNode(val)
        current = current.next
    return dummy_head.next
def linked_list_to_list(head):
    lst = []
    while head:
        lst.append(head.val)
        head = head.next
    return lst
def run_tests(func):
    test_cases = [
        ([2, 4, 3], [5, 6, 4], [7, 0, 8]),
        ([0], [0], [0]),
        ([9, 9, 9, 9, 9, 9, 9], [9, 9, 9, 9], [8, 9, 9, 9, 0, 0, 0, 1]),
        ([9], [1,9,9,9,9,9,9,9,9,9], [0,0,0,0,0,0,0,0,0,0,1]),
    ]
    passed_tests = 0
    total_tests = len(test_cases)
    for i, (l1_list, l2_list, expected_list) in enumerate(test_cases):
        l1 = list_to_linked_list(l1_list)
        l2 = list_to_linked_list(l2_list)
        result_linked_list = func(l1, l2)
        result_list = linked_list_to_list(result_linked_list)
        if result_list == expected_list:
            print(f"True")
            passed_tests += 1
        else:
            print(f"False")
            print(f"  Input: l1={l1_list}, l2={l2_list}")
            print(f"  Expected: {expected_list}")
            print(f"  Got: {result_list}")
    print(f"{passed_tests}/{total_tests}")
run_tests(addTwoNumbers)</t>
  </si>
  <si>
    <t>def lengthOfLongestSubstring(s):
    """
    Finds the length of the longest substring without repeating characters.
    Args:
        s: The input string.
    Returns:
        The length of the longest substring without repeating characters.
    """
    char_index_map = {}
    start = 0
    max_length = 0
    for end, char in enumerate(s):
        if char in char_index_map and char_index_map[char] &gt;= start:
            start = char_index_map[char] + 1
        char_index_map[char] = end
        max_length = max(max_length, end - start + 1)
    return max_length
def run_tests(func):
    test_cases = [
        ("abcabcbb", 3),
        ("bbbbb", 1),
        ("pwwkew", 3),
        ("", 0),
        (" ", 1),
        ("au", 2),
        ("dvdf", 3),
    ]
    passed_tests = 0
    total_tests = len(test_cases)
    for i, (s, expected) in enumerate(test_cases):
        result = func(s)
        if result == expected:
            print("True")
            passed_tests += 1
        else:
            print("False")
            print(f"  Input: s = \"{s}\"")
            print(f"  Expected: {expected}")
            print(f"  Got: {result}")
    print(f"{passed_tests}/{total_tests}")
run_tests(lengthOfLongestSubstring)</t>
  </si>
  <si>
    <t>def findMedianSortedArrays(nums1, nums2):
    merged_array = sorted(nums1 + nums2)
    total_length = len(merged_array)
    if total_length % 2 == 0:
        mid1 = merged_array[total_length // 2 - 1]
        mid2 = merged_array[total_length // 2]
        median = (mid1 + mid2) / 2.0
    else:
        median = merged_array[total_length // 2]
    return median
def run_tests(func):
    test_cases = [
        ([1, 3], [2], 2.00000),
        ([1, 2], [3, 4], 2.50000),
        ([0, 0], [0, 0], 0.00000),
        ([], [1], 1.00000),
        ([2], [], 2.00000),
        ([1,2,3], [4,5,6], 3.5),
        ([1,2], [-1,3], 1.5)
    ]
    passed_tests = 0
    total_tests = len(test_cases)
    for i, (nums1, nums2, expected) in enumerate(test_cases):
        result = func(nums1, nums2)
        if abs(result - expected) &lt; 1e-5:  # Use a tolerance for floating-point comparisons
            print("True")
            passed_tests += 1
        else:
            print("False")
            print(f"  Input: nums1 = {nums1}, nums2 = {nums2}")
            print(f"  Expected: {expected}")
            print(f"  Got: {result}")
    print(f"{passed_tests}/{total_tests}")
run_tests(findMedianSortedArrays)</t>
  </si>
  <si>
    <t>def isMatch(s, p):
    m, n = len(s), len(p)
    dp = [[False] * (n + 1) for _ in range(m + 1)]
    dp[0][0] = True
    for j in range(1, n + 1):
        if p[j - 1] == '*':
            dp[0][j] = dp[0][j - 2]
    for i in range(1, m + 1):
        for j in range(1, n + 1):
            if p[j - 1] == '.' or p[j - 1] == s[i - 1]:
                dp[i][j] = dp[i - 1][j - 1]
            elif p[j - 1] == '*':
                dp[i][j] = dp[i][j - 2]
                if p[j - 2] == '.' or p[j - 2] == s[i - 1]:
                    dp[i][j] = dp[i][j] or dp[i - 1][j]
            else:
                dp[i][j] = False
    return dp[m][n]
def run_tests(func):
    test_cases = [
        ("aa", "a", False),
        ("aa", "a*", True),
        ("ab", ".*", True),
        ("aab", "c*a*b", True),
        ("mississippi", "mis*is*p*.", False),
        ("mississippi", "mis*is*ip*.", True),
        ("", "a*", True),
        ("", ".*", True),
        ("a", "", False),
        ("ab", ".*c", False)
    ]
    passed_tests = 0
    total_tests = len(test_cases)
    for i, (s, p, expected) in enumerate(test_cases):
        result = func(s, p)
        if result == expected:
            print("True")
            passed_tests += 1
        else:
            print("False")
            print(f"  Input: s = \"{s}\", p = \"{p}\"")
            print(f"  Expected: {expected}")
            print(f"  Got: {result}")
    print(f"{passed_tests}/{total_tests}")
run_tests(isMatch)</t>
  </si>
  <si>
    <t>class ListNode:
    def __init__(self, val=0, next=None):
        self.val = val
        self.next = next
def mergeKLists(lists):
    import heapq
    heap = []
    for i, lst in enumerate(lists):
        if lst:
            heapq.heappush(heap, (lst.val, i, lst))
    dummy_head = ListNode(0)
    current = dummy_head
    while heap:
        val, list_index, node = heapq.heappop(heap)
        current.next = node
        current = current.next
        if node.next:
            heapq.heappush(heap, (node.next.val, list_index, node.next))
    return dummy_head.next
def list_to_linked_list(lst):
    dummy_head = ListNode(0)
    current = dummy_head
    for val in lst:
        current.next = ListNode(val)
        current = current.next
    return dummy_head.next
def linked_list_to_list(head):
    lst = []
    while head:
        lst.append(head.val)
        head = head.next
    return lst
def run_tests(func):
    test_cases = [
        ([[1, 4, 5], [1, 3, 4], [2, 6]], [1, 1, 2, 3, 4, 4, 5, 6]),
        ([], []),
        ([[]], []),
        ([[1], [0]], [0,1])
    ]
    passed_tests = 0
    total_tests = len(test_cases)
    for i, (lists_input, expected_list) in enumerate(test_cases):
        linked_lists = [list_to_linked_list(lst) for lst in lists_input]
        result_linked_list = func(linked_lists)
        result_list = linked_list_to_list(result_linked_list)
        if result_list == expected_list:
            print("True")
            passed_tests += 1
        else:
            print("False")
            print(f"  Input: lists = {lists_input}")
            print(f"  Expected: {expected_list}")
            print(f"  Got: {result_list}")
    print(f"{passed_tests}/{total_tests}")
run_tests(mergeKLists)</t>
  </si>
  <si>
    <t>class ListNode:
    def __init__(self, val=0, next=None):
        self.val = val
        self.next = next
def addTwoNumbers(l1, l2):
    dummy_head = ListNode(0)
    current = dummy_head
    carry = 0
    while l1 or l2 or carry:
        val1 = l1.val if l1 else 0
        val2 = l2.val if l2 else 0
        total_sum = val1 + val2 + carry
        carry = total_sum // 10
        digit = total_sum % 10
        current.next = ListNode(digit)
        current = current.next
        if l1:
            l1 = l1.next
        if l2:
            l2 = l2.next
    return dummy_head.next
def list_to_linked_list(lst):
    dummy_head = ListNode(0)
    current = dummy_head
    for val in lst:
        current.next = ListNode(val)
        current = current.next
    return dummy_head.next
def linked_list_to_list(head):
    lst = []
    current = head
    while current:
        lst.append(current.val)
        current = current.next
    return lst
def run_tests(addTwoNumbers):
    test_cases = [
        ([2, 4, 3], [5, 6, 4], [7, 0, 8]),
        ([0], [0], [0]),
        ([9, 9, 9, 9, 9, 9, 9], [9, 9, 9, 9], [8, 9, 9, 9, 0, 0, 0, 1]),
        ([9], [1,9,9,9,9,9,9,9,9,9], [0,0,0,0,0,0,0,0,0,0,1]),
    ]
    passed_tests = 0
    total_tests = len(test_cases)
    for l1_list, l2_list, expected_list in test_cases:
        l1 = list_to_linked_list(l1_list)
        l2 = list_to_linked_list(l2_list)
        result = addTwoNumbers(l1, l2)
        result_list = linked_list_to_list(result)
        if result_list == expected_list:
            print("True")
            passed_tests += 1
        else:
            print("False")
    print(f"{passed_tests}/{total_tests}")
run_tests(addTwoNumbers)</t>
  </si>
  <si>
    <t>def lengthOfLongestSubstring(s):
    char_index_map = {}
    start = 0
    max_length = 0
    for end, char in enumerate(s):
        if char in char_index_map and char_index_map[char] &gt;= start:
            start = char_index_map[char] + 1
        char_index_map[char] = end
        max_length = max(max_length, end - start + 1)
    return max_length
def run_tests(lengthOfLongestSubstring):
    test_cases = [
        ("abcabcbb", 3),
        ("bbbbb", 1),
        ("pwwkew", 3),
        ("", 0),
        (" ", 1),
        ("au", 2),
        ("dvdf", 3),
    ]
    passed_tests = 0
    total_tests = len(test_cases)
    for s, expected in test_cases:
        result = lengthOfLongestSubstring(s)
        if result == expected:
            print("True")
            passed_tests += 1
        else:
            print("False")
    print(f"{passed_tests}/{total_tests}")
run_tests(lengthOfLongestSubstring)</t>
  </si>
  <si>
    <t>def findMedianSortedArrays(nums1, nums2):
    merged_array = sorted(nums1 + nums2)
    total_length = len(merged_array)
    if total_length % 2 == 0:
        mid1 = merged_array[total_length // 2 - 1]
        mid2 = merged_array[total_length // 2]
        median = (mid1 + mid2) / 2.0
    else:
        median = float(merged_array[total_length // 2])
    return median
def run_tests(findMedianSortedArrays):
    test_cases = [
        ([1, 3], [2], 2.0),
        ([1, 2], [3, 4], 2.5),
        ([0, 0], [0, 0], 0.0),
        ([], [1], 1.0),
        ([2], [], 2.0),
    ]
    passed_tests = 0
    total_tests = len(test_cases)
    for nums1, nums2, expected in test_cases:
        result = findMedianSortedArrays(nums1, nums2)
        if result == expected:
            print("True")
            passed_tests += 1
        else:
            print("False")
    print(f"{passed_tests}/{total_tests}")
run_tests(findMedianSortedArrays)</t>
  </si>
  <si>
    <t>def isMatch(s, p):
    m, n = len(s), len(p)
    dp = [[False] * (n + 1) for _ in range(m + 1)]
    dp[0][0] = True
    for j in range(1, n + 1):
        if p[j - 1] == '*':
            dp[0][j] = dp[0][j - 2]
    for i in range(1, m + 1):
        for j in range(1, n + 1):
            if p[j - 1] == '.' or p[j - 1] == s[i - 1]:
                dp[i][j] = dp[i - 1][j - 1]
            elif p[j - 1] == '*':
                dp[i][j] = dp[i][j - 2]
                if p[j - 2] == '.' or p[j - 2] == s[i - 1]:
                    dp[i][j] = dp[i][j] or dp[i - 1][j]
            else:
                dp[i][j] = False
    return dp[m][n]
def run_tests(isMatch):
    test_cases = [
        ("aa", "a", False),
        ("aa", "a*", True),
        ("ab", ".*", True),
        ("aab", "c*a*b", True),
        ("mississippi", "mis*is*p*.", False),
        ("mississippi", "mis*is*ip*.", True),
        ("", "a*", True),
        ("a", "", False),
        ("", "", True)
    ]
    passed_tests = 0
    total_tests = len(test_cases)
    for s, p, expected in test_cases:
        result = isMatch(s, p)
        if result == expected:
            print("True")
            passed_tests += 1
        else:
            print("False")
    print(f"{passed_tests}/{total_tests}")
run_tests(isMatch)</t>
  </si>
  <si>
    <t>import heapq
class ListNode:
    def __init__(self, val=0, next=None):
        self.val = val
        self.next = next
    def __lt__(self, other):
        return self.val &lt; other.val
def mergeKLists(lists):
    heap = []
    for i, lst in enumerate(lists):
        if lst:
            heapq.heappush(heap, (lst.val, i, lst))
    dummy = ListNode(0)
    tail = dummy
    while heap:
        val, i, node = heapq.heappop(heap)
        tail.next = node
        tail = tail.next
        if node.next:
            heapq.heappush(heap, (node.next.val, i, node.next))
    return dummy.next
def list_to_linked_list(lst):
    dummy = ListNode()
    current = dummy
    for val in lst:
        current.next = ListNode(val)
        current = current.next
    return dummy.next
def linked_list_to_list(head):
    lst = []
    while head:
        lst.append(head.val)
        head = head.next
    return lst
def run_tests(mergeKLists):
    test_cases = [
        ([[1, 4, 5], [1, 3, 4], [2, 6]], [1, 1, 2, 3, 4, 4, 5, 6]),
        ([], []),
        ([[]], []),
    ]
    passed_tests = 0
    total_tests = len(test_cases)
    for lists_input, expected_output in test_cases:
        linked_lists = [list_to_linked_list(lst) for lst in lists_input]
        merged_list = mergeKLists(linked_lists)
        result = linked_list_to_list(merged_list)
        if result == expected_output:
            print("True")
            passed_tests += 1
        else:
            print("False")
    print(f"{passed_tests}/{total_tests}")
run_tests(mergeKLists)</t>
  </si>
  <si>
    <t>class ListNode:
    def __init__(self, val=0, next=None):
        self.val = val
        self.next = next
def addTwoNumbers(l1, l2):
    dummy_head = ListNode(0)
    current = dummy_head
    carry = 0
    while l1 or l2 or carry:
        val1 = l1.val if l1 else 0
        val2 = l2.val if l2 else 0
        total_sum = val1 + val2 + carry
        carry = total_sum // 10
        current.next = ListNode(total_sum % 10)
        current = current.next
        if l1:
            l1 = l1.next
        if l2:
            l2 = l2.next
    return dummy_head.next
def list_to_linked_list(lst):
    dummy_head = ListNode(0)
    current = dummy_head
    for val in lst:
        current.next = ListNode(val)
        current = current.next
    return dummy_head.next
def linked_list_to_list(head):
    lst = []
    current = head
    while current:
        lst.append(current.val)
        current = current.next
    return lst
def run_tests(func):
    test_cases = [
        ([2, 4, 3], [5, 6, 4], [7, 0, 8]),
        ([0], [0], [0]),
        ([9, 9, 9, 9, 9, 9, 9], [9, 9, 9, 9], [8, 9, 9, 9, 0, 0, 0, 1]),
        ([9], [1,9,9,9,9,9,9,9,9,9], [0,0,0,0,0,0,0,0,0,0,1]),
    ]
    passed_tests = 0
    total_tests = len(test_cases)
    for i, (l1_list, l2_list, expected_list) in enumerate(test_cases):
        l1 = list_to_linked_list(l1_list)
        l2 = list_to_linked_list(l2_list)
        result_linked_list = func(l1, l2)
        result_list = linked_list_to_list(result_linked_list)
        if result_list == expected_list:
            print(f"True")
            passed_tests += 1
        else:
            print(f"False")
            print(f"  Input: l1={l1_list}, l2={l2_list}")
            print(f"  Expected: {expected_list}")
            print(f"  Got: {result_list}")
    print(f"{passed_tests}/{total_tests}")
run_tests(addTwoNumbers)</t>
  </si>
  <si>
    <t>def lengthOfLongestSubstring(s):
    """
    Finds the length of the longest substring without repeating characters.
    Args:
        s: The input string.
    Returns:
        The length of the longest substring without repeating characters.
    """
    char_index_map = {}
    start = 0
    max_length = 0
    for end, char in enumerate(s):
        if char in char_index_map and char_index_map[char] &gt;= start:
            start = char_index_map[char] + 1
        char_index_map[char] = end
        max_length = max(max_length, end - start + 1)
    return max_length
def run_tests(func):
    test_cases = [
        ("abcabcbb", 3),
        ("bbbbb", 1),
        ("pwwkew", 3),
        ("", 0),
        (" ", 1),
        ("au", 2),
        ("dvdf", 3),
    ]
    passed_tests = 0
    total_tests = len(test_cases)
    for i, (s, expected) in enumerate(test_cases):
        result = func(s)
        if result == expected:
            print("True")
            passed_tests += 1
        else:
            print("False")
            print(f"  Input: s = \"{s}\"")
            print(f"  Expected: {expected}")
            print(f"  Got: {result}")
    print(f"{passed_tests}/{total_tests}")
run_tests(lengthOfLongestSubstring)</t>
  </si>
  <si>
    <t>def findMedianSortedArrays(nums1, nums2):
    merged_array = sorted(nums1 + nums2)
    total_length = len(merged_array)
    if total_length % 2 == 0:
        mid1 = merged_array[total_length // 2 - 1]
        mid2 = merged_array[total_length // 2]
        median = (mid1 + mid2) / 2.0
    else:
        median = merged_array[total_length // 2]
    return median
def run_tests(func):
    test_cases = [
        ([1, 3], [2], 2.00000),
        ([1, 2], [3, 4], 2.50000),
        ([0, 0], [0, 0], 0.00000),
        ([], [1], 1.00000),
        ([2], [], 2.00000),
        ([1,2,3], [4,5,6], 3.5),
        ([1,2], [-1,3], 1.5)
    ]
    passed_tests = 0
    total_tests = len(test_cases)
    for i, (nums1, nums2, expected) in enumerate(test_cases):
        result = func(nums1, nums2)
        if result == expected:
            print("True")
            passed_tests += 1
        else:
            print("False")
            print(f"  Input: nums1 = {nums1}, nums2 = {nums2}")
            print(f"  Expected: {expected}")
            print(f"  Got: {result}")
    print(f"{passed_tests}/{total_tests}")
run_tests(findMedianSortedArrays)</t>
  </si>
  <si>
    <t>def isMatch(s, p):
    m, n = len(s), len(p)
    dp = [[False] * (n + 1) for _ in range(m + 1)]
    dp[0][0] = True
    for j in range(1, n + 1):
        if p[j - 1] == '*':
            dp[0][j] = dp[0][j - 2]
    for i in range(1, m + 1):
        for j in range(1, n + 1):
            if p[j - 1] == '.' or p[j - 1] == s[i - 1]:
                dp[i][j] = dp[i - 1][j - 1]
            elif p[j - 1] == '*':
                dp[i][j] = dp[i][j - 2]
                if p[j - 2] == '.' or p[j - 2] == s[i - 1]:
                    dp[i][j] = dp[i][j] or dp[i - 1][j]
            else:
                dp[i][j] = False
    return dp[m][n]
def run_tests(func):
    test_cases = [
        ("aa", "a", False),
        ("aa", "a*", True),
        ("ab", ".*", True),
        ("aab", "c*a*b", True),
        ("mississippi", "mis*is*p*.", False),
        ("mississippi", "mis*is*ip*.", True),
        ("", "a*", True),
        ("", ".*", True),
        ("a", "", False),
        ("ab", ".*c", False)
    ]
    passed_tests = 0
    total_tests = len(test_cases)
    for i, (s, p, expected) in enumerate(test_cases):
        result = func(s, p)
        if result == expected:
            print("True")
            passed_tests += 1
        else:
            print("False")
            print(f"  Input: s = \"{s}\", p = \"{p}\"")
            print(f"  Expected: {expected}")
            print(f"  Got: {result}")
    print(f"{passed_tests}/{total_tests}")
run_tests(isMatch)</t>
  </si>
  <si>
    <t>import heapq
class ListNode:
    def __init__(self, val=0, next=None):
        self.val = val
        self.next = next
    def __lt__(self, other):
        return self.val &lt; other.val
def mergeKLists(lists):
    """
    Merges k sorted linked lists into one sorted linked list.
    Args:
        lists: A list of k sorted linked lists.
    Returns:
        The head of the merged sorted linked list.
    """
    heap = []
    for head in lists:
        if head:
            heapq.heappush(heap, (head.val, head))
    dummy = ListNode(0)
    tail = dummy
    while heap:
        val, node = heapq.heappop(heap)
        tail.next = node
        tail = tail.next
        if node.next:
            heapq.heappush(heap, (node.next.val, node.next))
    return dummy.next
def list_to_linked_list(lst):
    dummy_head = ListNode(0)
    current = dummy_head
    for val in lst:
        current.next = ListNode(val)
        current = current.next
    return dummy_head.next
def linked_list_to_list(head):
    lst = []
    current = head
    while current:
        lst.append(current.val)
        current = current.next
    return lst
def run_tests(func):
    test_cases = [
        ([[1, 4, 5], [1, 3, 4], [2, 6]], [1, 1, 2, 3, 4, 4, 5, 6]),
        ([], []),
        ([[]], []),
        ([[1], [0]], [0,1])
    ]
    passed_tests = 0
    total_tests = len(test_cases)
    for i, (lists_input, expected_list) in enumerate(test_cases):
        linked_lists = [list_to_linked_list(lst) for lst in lists_input]
        result_linked_list = func(linked_lists)
        result_list = linked_list_to_list(result_linked_list)
        if result_list == expected_list:
            print("True")
            passed_tests += 1
        else:
            print("False")
            print(f"  Input: lists = {lists_input}")
            print(f"  Expected: {expected_list}")
            print(f"  Got: {result_list}")
    print(f"{passed_tests}/{total_tests}")
run_tests(mergeKLists)</t>
  </si>
  <si>
    <t>class ListNode:
    def __init__(self, val=0, next=None):
        self.val = val
        self.next = next
def addTwoNumbers(l1, l2):
    dummy_head = ListNode(0)
    current = dummy_head
    carry = 0
    while l1 or l2 or carry:
        val1 = l1.val if l1 else 0
        val2 = l2.val if l2 else 0
        total_sum = val1 + val2 + carry
        carry = total_sum // 10
        digit = total_sum % 10
        current.next = ListNode(digit)
        current = current.next
        if l1:
            l1 = l1.next
        if l2:
            l2 = l2.next
    return dummy_head.next
def list_to_linked_list(lst):
    dummy_head = ListNode(0)
    current = dummy_head
    for val in lst:
        current.next = ListNode(val)
        current = current.next
    return dummy_head.next
def linked_list_to_list(head):
    lst = []
    current = head
    while current:
        lst.append(current.val)
        current = current.next
    return lst
def run_tests(addTwoNumbers):
    test_cases = [
        ([2, 4, 3], [5, 6, 4], [7, 0, 8]),
        ([0], [0], [0]),
        ([9, 9, 9, 9, 9, 9, 9], [9, 9, 9, 9], [8, 9, 9, 9, 0, 0, 0, 1]),
        ([9,9], [1], [0,0,1])
    ]
    passed_tests = 0
    total_tests = len(test_cases)
    for i, (l1_list, l2_list, expected_list) in enumerate(test_cases):
        l1 = list_to_linked_list(l1_list)
        l2 = list_to_linked_list(l2_list)
        result = addTwoNumbers(l1, l2)
        result_list = linked_list_to_list(result)
        if result_list == expected_list:
            print(f"Test {i+1}: True")
            passed_tests += 1
        else:
            print(f"Test {i+1}: False")
    print(f"\n{passed_tests}/{total_tests} tests passed.")
run_tests(addTwoNumbers)</t>
  </si>
  <si>
    <t>Test 1: True_x000D_
Test 2: True_x000D_
Test 3: True_x000D_
Test 4: True_x000D_
_x000D_
4/4 tests passed.</t>
  </si>
  <si>
    <t>def lengthOfLongestSubstring(s):
    char_index_map = {}
    start = 0
    max_length = 0
    for end, char in enumerate(s):
        if char in char_index_map and char_index_map[char] &gt;= start:
            start = char_index_map[char] + 1
        char_index_map[char] = end
        max_length = max(max_length, end - start + 1)
    return max_length
def run_tests(lengthOfLongestSubstring):
    test_cases = [
        ("abcabcbb", 3),
        ("bbbbb", 1),
        ("pwwkew", 3),
        ("", 0),
        (" ", 1),
        ("au", 2),
        ("dvdf", 3)
    ]
    passed_tests = 0
    total_tests = len(test_cases)
    for i, (s, expected) in enumerate(test_cases):
        result = lengthOfLongestSubstring(s)
        if result == expected:
            print(f"Test {i+1}: True")
            passed_tests += 1
        else:
            print(f"Test {i+1}: False")
    print(f"\n{passed_tests}/{total_tests} tests passed.")
run_tests(lengthOfLongestSubstring)</t>
  </si>
  <si>
    <t>Test 1: True_x000D_
Test 2: True_x000D_
Test 3: True_x000D_
Test 4: True_x000D_
Test 5: True_x000D_
Test 6: True_x000D_
Test 7: True_x000D_
_x000D_
7/7 tests passed.</t>
  </si>
  <si>
    <t>def findMedianSortedArrays(nums1, nums2):
    merged_array = sorted(nums1 + nums2)
    total_length = len(merged_array)
    if total_length % 2 == 0:
        mid1 = merged_array[total_length // 2 - 1]
        mid2 = merged_array[total_length // 2]
        median = (mid1 + mid2) / 2.0
    else:
        median = merged_array[total_length // 2]
    return median
def run_tests(findMedianSortedArrays):
    test_cases = [
        ([1, 3], [2], 2.00000),
        ([1, 2], [3, 4], 2.50000),
        ([0, 0], [0, 0], 0.00000),
        ([], [1], 1.00000),
        ([2], [], 2.00000),
    ]
    passed_tests = 0
    total_tests = len(test_cases)
    for i, (nums1, nums2, expected) in enumerate(test_cases):
        result = findMedianSortedArrays(nums1, nums2)
        if result == expected:
            print(f"Test {i + 1}: True")
            passed_tests += 1
        else:
            print(f"Test {i + 1}: False")
    print(f"\n{passed_tests}/{total_tests} tests passed.")
run_tests(findMedianSortedArrays)</t>
  </si>
  <si>
    <t>Test 1: True_x000D_
Test 2: True_x000D_
Test 3: True_x000D_
Test 4: True_x000D_
Test 5: True_x000D_
_x000D_
5/5 tests passed.</t>
  </si>
  <si>
    <t>def isMatch(s, p):
    m, n = len(s), len(p)
    dp = [[False] * (n + 1) for _ in range(m + 1)]
    dp[0][0] = True
    for j in range(1, n + 1):
        if p[j - 1] == '*':
            dp[0][j] = dp[0][j - 2]
    for i in range(1, m + 1):
        for j in range(1, n + 1):
            if p[j - 1] == '.' or p[j - 1] == s[i - 1]:
                dp[i][j] = dp[i - 1][j - 1]
            elif p[j - 1] == '*':
                dp[i][j] = dp[i][j - 2]
                if p[j - 2] == '.' or p[j - 2] == s[i - 1]:
                    dp[i][j] = dp[i][j] or dp[i - 1][j]
            else:
                dp[i][j] = False
    return dp[m][n]
def run_tests(isMatch):
    test_cases = [
        ("aa", "a", False),
        ("aa", "a*", True),
        ("ab", ".*", True),
        ("aab", "c*a*b", True),
        ("mississippi", "mis*is*p*.", False),
        ("", "", True),
        ("a", "", False),
        ("", "a*", True),
        ("ab", ".*c", False)
    ]
    passed_tests = 0
    total_tests = len(test_cases)
    for i, (s, p, expected) in enumerate(test_cases):
        result = isMatch(s, p)
        if result == expected:
            print(f"Test {i+1}: True")
            passed_tests += 1
        else:
            print(f"Test {i+1}: False")
    print(f"\n{passed_tests}/{total_tests} tests passed.")
run_tests(isMatch)</t>
  </si>
  <si>
    <t>Test 1: True_x000D_
Test 2: True_x000D_
Test 3: True_x000D_
Test 4: True_x000D_
Test 5: True_x000D_
Test 6: True_x000D_
Test 7: True_x000D_
Test 8: True_x000D_
Test 9: True_x000D_
_x000D_
9/9 tests passed.</t>
  </si>
  <si>
    <t>import heapq
class ListNode:
    def __init__(self, val=0, next=None):
        self.val = val
        self.next = next
    def __lt__(self, other):
        return self.val &lt; other.val
def mergeKLists(lists):
    dummy = ListNode(-1)
    tail = dummy
    heap = []
    for i, l in enumerate(lists):
        if l:
            heapq.heappush(heap, (l.val, i, l))
    while heap:
        val, i, node = heapq.heappop(heap)
        tail.next = node
        tail = tail.next
        if node.next:
            heapq.heappush(heap, (node.next.val, i, node.next))
    return dummy.next
def list_to_linked_list(lst):
    dummy_head = ListNode(0)
    current = dummy_head
    for val in lst:
        current.next = ListNode(val)
        current = current.next
    return dummy_head.next
def linked_list_to_list(head):
    lst = []
    current = head
    while current:
        lst.append(current.val)
        current = current.next
    return lst
def run_tests(mergeKLists):
    test_cases = [
        ([[1, 4, 5], [1, 3, 4], [2, 6]], [1, 1, 2, 3, 4, 4, 5, 6]),
        ([], []),
        ([[]], []),
    ]
    passed_tests = 0
    total_tests = len(test_cases)
    for i, (lists_input, expected_list) in enumerate(test_cases):
        linked_lists = [list_to_linked_list(lst) for lst in lists_input]
        result = mergeKLists(linked_lists)
        result_list = linked_list_to_list(result)
        if result_list == expected_list:
            print(f"Test {i + 1}: True")
            passed_tests += 1
        else:
            print(f"Test {i + 1}: False")
    print(f"\n{passed_tests}/{total_tests} tests passed.")
run_tests(mergeKLists)</t>
  </si>
  <si>
    <t>Test 1: True_x000D_
Test 2: True_x000D_
Test 3: True_x000D_
_x000D_
3/3 tests passed.</t>
  </si>
  <si>
    <t>class ListNode:
    def __init__(self, val=0, next=None):
        self.val = val
        self.next = next
def addTwoNumbers(l1, l2):
    dummy_head = ListNode(0)
    current = dummy_head
    carry = 0
    while l1 or l2 or carry:
        val1 = l1.val if l1 else 0
        val2 = l2.val if l2 else 0
        total_sum = val1 + val2 + carry
        carry = total_sum // 10
        digit = total_sum % 10
        current.next = ListNode(digit)
        current = current.next
        if l1:
            l1 = l1.next
        if l2:
            l2 = l2.next
    return dummy_head.next
def list_to_linked_list(lst):
    dummy_head = ListNode(0)
    current = dummy_head
    for val in lst:
        current.next = ListNode(val)
        current = current.next
    return dummy_head.next
def linked_list_to_list(head):
    lst = []
    while head:
        lst.append(head.val)
        head = head.next
    return lst
def run_tests(tests):
    correct_count = 0
    total_tests = len(tests)
    for i, (l1_list, l2_list, expected_list) in enumerate(tests):
        l1 = list_to_linked_list(l1_list)
        l2 = list_to_linked_list(l2_list)
        result_linked_list = addTwoNumbers(l1, l2)
        result_list = linked_list_to_list(result_linked_list)
        if result_list == expected_list:
            print(f"Test {i+1}: True")
            correct_count += 1
        else:
            print(f"Test {i+1}: False")
    print(f"{correct_count}/{total_tests} tests correct")
if __name__ == "__main__":
    tests = [
        ([2, 4, 3], [5, 6, 4], [7, 0, 8]),
        ([0], [0], [0]),
        ([9, 9, 9, 9, 9, 9, 9], [9, 9, 9, 9], [8, 9, 9, 9, 0, 0, 0, 1]),
        ([9,9], [1], [0,0,1])
    ]
    run_tests(tests)</t>
  </si>
  <si>
    <t>Test 1: True_x000D_
Test 2: True_x000D_
Test 3: True_x000D_
Test 4: True_x000D_
4/4 tests correct</t>
  </si>
  <si>
    <t>def lengthOfLongestSubstring(s):
    char_index_map = {}
    start = 0
    max_length = 0
    for end, char in enumerate(s):
        if char in char_index_map and char_index_map[char] &gt;= start:
            start = char_index_map[char] + 1
        char_index_map[char] = end
        max_length = max(max_length, end - start + 1)
    return max_length
def run_tests(tests):
    correct_count = 0
    total_tests = len(tests)
    for i, (input_s, expected_output) in enumerate(tests):
        result = lengthOfLongestSubstring(input_s)
        if result == expected_output:
            print(f"Test {i+1}: True")
            correct_count += 1
        else:
            print(f"Test {i+1}: False")
    print(f"{correct_count}/{total_tests} tests correct")
if __name__ == "__main__":
    tests = [
        ("abcabcbb", 3),
        ("bbbbb", 1),
        ("pwwkew", 3),
        ("", 0),
        (" ", 1),
        ("dvdf", 3),
        ("au", 2)
    ]
    run_tests(tests)</t>
  </si>
  <si>
    <t>Test 1: True_x000D_
Test 2: True_x000D_
Test 3: True_x000D_
Test 4: True_x000D_
Test 5: True_x000D_
Test 6: True_x000D_
Test 7: True_x000D_
7/7 tests correct</t>
  </si>
  <si>
    <t>def findMedianSortedArrays(nums1, nums2):
    merged_array = sorted(nums1 + nums2)
    total_length = len(merged_array)
    if total_length % 2 == 0:
        mid1 = merged_array[total_length // 2 - 1]
        mid2 = merged_array[total_length // 2]
        median = (mid1 + mid2) / 2.0
    else:
        median = float(merged_array[total_length // 2])
    return median
def run_tests(tests):
    correct_count = 0
    total_tests = len(tests)
    for i, (nums1, nums2, expected_output) in enumerate(tests):
        result = findMedianSortedArrays(nums1, nums2)
        if result == expected_output:
            print(f"Test {i+1}: True")
            correct_count += 1
        else:
            print(f"Test {i+1}: False")
    print(f"{correct_count}/{total_tests} tests correct")
if __name__ == "__main__":
    tests = [
        ([1, 3], [2], 2.0),
        ([1, 2], [3, 4], 2.5),
        ([0, 0], [0, 0], 0.0),
        ([], [1], 1.0),
        ([2], [], 2.0),
    ]
    run_tests(tests)</t>
  </si>
  <si>
    <t>Test 1: True_x000D_
Test 2: True_x000D_
Test 3: True_x000D_
Test 4: True_x000D_
Test 5: True_x000D_
5/5 tests correct</t>
  </si>
  <si>
    <t>def isMatch(s, p):
    m, n = len(s), len(p)
    dp = [[False] * (n + 1) for _ in range(m + 1)]
    dp[0][0] = True
    for j in range(1, n + 1):
        if p[j - 1] == '*':
            dp[0][j] = dp[0][j - 2]
    for i in range(1, m + 1):
        for j in range(1, n + 1):
            if p[j - 1] == '.' or p[j - 1] == s[i - 1]:
                dp[i][j] = dp[i - 1][j - 1]
            elif p[j - 1] == '*':
                dp[i][j] = dp[i][j - 2]
                if p[j - 2] == '.' or p[j - 2] == s[i - 1]:
                    dp[i][j] = dp[i][j] or dp[i - 1][j]
    return dp[m][n]
def run_tests(tests):
    correct_count = 0
    total_tests = len(tests)
    for i, (s, p, expected_output) in enumerate(tests):
        result = isMatch(s, p)
        if result == expected_output:
            print(f"Test {i+1}: True")
            correct_count += 1
        else:
            print(f"Test {i+1}: False")
    print(f"{correct_count}/{total_tests} tests correct")
if __name__ == "__main__":
    tests = [
        ("aa", "a", False),
        ("aa", "a*", True),
        ("ab", ".*", True),
        ("aab", "c*a*b", True),
        ("mississippi", "mis*is*p*.", False),
        ("mississippi", "mis*is*ip*.", True),
        ("", "c*", True),
        ("a", "ab*", True)
    ]
    run_tests(tests)</t>
  </si>
  <si>
    <t>Test 1: True_x000D_
Test 2: True_x000D_
Test 3: True_x000D_
Test 4: True_x000D_
Test 5: True_x000D_
Test 6: True_x000D_
Test 7: True_x000D_
Test 8: True_x000D_
8/8 tests correct</t>
  </si>
  <si>
    <t>import heapq
class ListNode:
    def __init__(self, val=0, next=None):
        self.val = val
        self.next = next
    def __lt__(self, other):
        return self.val &lt; other.val
def mergeKLists(lists):
    dummy = ListNode(-1)
    tail = dummy
    heap = []
    for i, lst in enumerate(lists):
        if lst:
            heapq.heappush(heap, (lst.val, i, lst))
    while heap:
        val, i, node = heapq.heappop(heap)
        tail.next = node
        tail = tail.next
        if node.next:
            heapq.heappush(heap, (node.next.val, i, node.next))
    return dummy.next
def list_to_linked_list(lst):
    dummy_head = ListNode(0)
    current = dummy_head
    for val in lst:
        current.next = ListNode(val)
        current = current.next
    return dummy_head.next
def linked_list_to_list(head):
    lst = []
    while head:
        lst.append(head.val)
        head = head.next
    return lst
def run_tests(tests):
    correct_count = 0
    total_tests = len(tests)
    for i, (input_lists, expected_list) in enumerate(tests):
        linked_lists = [list_to_linked_list(lst) for lst in input_lists]
        result_linked_list = mergeKLists(linked_lists)
        result_list = linked_list_to_list(result_linked_list)
        if result_list == expected_list:
            print(f"Test {i+1}: True")
            correct_count += 1
        else:
            print(f"Test {i+1}: False")
    print(f"{correct_count}/{total_tests} tests correct")
if __name__ == "__main__":
    tests = [
        ([[1, 4, 5], [1, 3, 4], [2, 6]], [1, 1, 2, 3, 4, 4, 5, 6]),
        ([], []),
        ([[]], []),
    ]
    run_tests(tests)</t>
  </si>
  <si>
    <t>Test 1: True_x000D_
Test 2: True_x000D_
Test 3: True_x000D_
3/3 tests correct</t>
  </si>
  <si>
    <t>class ListNode:
    def __init__(self, val=0, next=None):
        self.val = val
        self.next = next
def addTwoNumbers(l1, l2):
    dummy_head = ListNode(0)
    current = dummy_head
    carry = 0
    while l1 or l2 or carry:
        val1 = l1.val if l1 else 0
        val2 = l2.val if l2 else 0
        total_sum = val1 + val2 + carry
        carry = total_sum // 10
        digit = total_sum % 10
        current.next = ListNode(digit)
        current = current.next
        if l1:
            l1 = l1.next
        if l2:
            l2 = l2.next
    return dummy_head.next
def list_to_linked_list(lst):
    dummy_head = ListNode(0)
    current = dummy_head
    for val in lst:
        current.next = ListNode(val)
        current = current.next
    return dummy_head.next
def linked_list_to_list(head):
    lst = []
    current = head
    while current:
        lst.append(current.val)
        current = current.next
    return lst
def run_tests(func):
    test_cases = [
        ([2, 4, 3], [5, 6, 4], [7, 0, 8]),
        ([0], [0], [0]),
        ([9, 9, 9, 9, 9, 9, 9], [9, 9, 9, 9], [8, 9, 9, 9, 0, 0, 0, 1]),
        ([9], [1,9,9,9,9,9,9,9,9,9], [0,0,0,0,0,0,0,0,0,0,1]),
    ]
    passed_tests = 0
    total_tests = len(test_cases)
    for i, (l1_list, l2_list, expected_list) in enumerate(test_cases):
        l1 = list_to_linked_list(l1_list)
        l2 = list_to_linked_list(l2_list)
        result_linked_list = func(l1, l2)
        result_list = linked_list_to_list(result_linked_list)
        if result_list == expected_list:
            print(f"True")
            passed_tests += 1
        else:
            print(f"False")
            print(f"  Input: l1={l1_list}, l2={l2_list}")
            print(f"  Expected: {expected_list}")
            print(f"  Got: {result_list}")
    print(f"{passed_tests}/{total_tests}")
run_tests(addTwoNumbers)</t>
  </si>
  <si>
    <t>def findMedianSortedArrays(nums1, nums2):
    merged_array = sorted(nums1 + nums2)
    total_length = len(merged_array)
    if total_length % 2 == 0:
        mid1 = merged_array[total_length // 2 - 1]
        mid2 = merged_array[total_length // 2]
        median = (mid1 + mid2) / 2.0
    else:
        median = float(merged_array[total_length // 2])
    return median
def run_tests(func):
    test_cases = [
        ([1, 3], [2], 2.00000),
        ([1, 2], [3, 4], 2.50000),
        ([0, 0], [0, 0], 0.00000),
        ([], [1], 1.00000),
        ([2], [], 2.00000),
        ([1,2,3], [4,5,6], 3.5),
        ([1,2], [-1,3], 1.5)
    ]
    passed_tests = 0
    total_tests = len(test_cases)
    for i, (nums1, nums2, expected) in enumerate(test_cases):
        result = func(nums1, nums2)
        if result == expected:
            print("True")
            passed_tests += 1
        else:
            print("False")
            print(f"  Input: nums1 = {nums1}, nums2 = {nums2}")
            print(f"  Expected: {expected}")
            print(f"  Got: {result}")
    print(f"{passed_tests}/{total_tests}")
run_tests(findMedianSortedArrays)</t>
  </si>
  <si>
    <t>def isMatch(s, p):
    m, n = len(s), len(p)
    dp = [[False] * (n + 1) for _ in range(m + 1)]
    dp[0][0] = True
    for j in range(1, n + 1):
        if p[j - 1] == '*':
            dp[0][j] = dp[0][j - 2]
    for i in range(1, m + 1):
        for j in range(1, n + 1):
            if p[j - 1] == '.' or p[j - 1] == s[i - 1]:
                dp[i][j] = dp[i - 1][j - 1]
            elif p[j - 1] == '*':
                dp[i][j] = dp[i][j - 2]
                if p[j - 2] == '.' or p[j - 2] == s[i - 1]:
                    dp[i][j] = dp[i][j] or dp[i - 1][j]
            else:
                dp[i][j] = False
    return dp[m][n]
def run_tests(func):
    test_cases = [
        ("aa", "a", False),
        ("aa", "a*", True),
        ("ab", ".*", True),
        ("aab", "c*a*b", True),
        ("mississippi", "mis*is*p*.", False),
        ("mississippi", "mis*is*ip*.", True),
        ("", "a*", True),
        ("a", "", False),
        ("", "", True),
        ("ab", ".*c", False)
    ]
    passed_tests = 0
    total_tests = len(test_cases)
    for i, (s, p, expected) in enumerate(test_cases):
        result = func(s, p)
        if result == expected:
            print("True")
            passed_tests += 1
        else:
            print("False")
            print(f"  Input: s = \"{s}\", p = \"{p}\"")
            print(f"  Expected: {expected}")
            print(f"  Got: {result}")
    print(f"{passed_tests}/{total_tests}")
run_tests(isMatch)</t>
  </si>
  <si>
    <t>import heapq
class ListNode:
    def __init__(self, val=0, next=None):
        self.val = val
        self.next = next
    def __lt__(self, other):
        return self.val &lt; other.val
def mergeKLists(lists):
    """
    Merges k sorted linked lists into one sorted linked list.
    Args:
        lists: A list of k sorted linked lists.
    Returns:
        The head of the merged sorted linked list.
    """
    heap = []
    for i, head in enumerate(lists):
        if head:
            heapq.heappush(heap, (head.val, i, head))
    dummy_head = ListNode(0)
    current = dummy_head
    while heap:
        val, i, node = heapq.heappop(heap)
        current.next = node
        current = current.next
        if node.next:
            heapq.heappush(heap, (node.next.val, i, node.next))
    return dummy_head.next
def list_to_linked_list(lst):
    dummy_head = ListNode(0)
    current = dummy_head
    for val in lst:
        current.next = ListNode(val)
        current = current.next
    return dummy_head.next
def linked_list_to_list(head):
    lst = []
    current = head
    while current:
        lst.append(current.val)
        current = current.next
    return lst
def run_tests(func):
    test_cases = [
        ([[1, 4, 5], [1, 3, 4], [2, 6]], [1, 1, 2, 3, 4, 4, 5, 6]),
        ([], []),
        ([[]], []),
        ([[1], [0]], [0,1])
    ]
    passed_tests = 0
    total_tests = len(test_cases)
    for i, (lists_lists, expected_list) in enumerate(test_cases):
        lists = [list_to_linked_list(lst) for lst in lists_lists]
        result_linked_list = func(lists)
        result_list = linked_list_to_list(result_linked_list)
        if result_list == expected_list:
            print("True")
            passed_tests += 1
        else:
            print("False")
            print(f"  Input: lists = {lists_lists}")
            print(f"  Expected: {expected_list}")
            print(f"  Got: {result_list}")
    print(f"{passed_tests}/{total_tests}")
run_tests(mergeKLists)</t>
  </si>
  <si>
    <t>class ListNode:
    def __init__(self, val=0, next=None):
        self.val = val
        self.next = next
def addTwoNumbers(l1, l2):
    dummy_head = ListNode(0)
    current = dummy_head
    carry = 0
    while l1 or l2 or carry:
        val1 = l1.val if l1 else 0
        val2 = l2.val if l2 else 0
        total_sum = val1 + val2 + carry
        carry = total_sum // 10
        digit = total_sum % 10
        current.next = ListNode(digit)
        current = current.next
        if l1:
            l1 = l1.next
        if l2:
            l2 = l2.next
    return dummy_head.next
def list_to_linked_list(lst):
    dummy_head = ListNode(0)
    current = dummy_head
    for val in lst:
        current.next = ListNode(val)
        current = current.next
    return dummy_head.next
def linked_list_to_list(head):
    lst = []
    while head:
        lst.append(head.val)
        head = head.next
    return lst
def run_tests(l1_list, l2_list, expected_list):
    l1 = list_to_linked_list(l1_list)
    l2 = list_to_linked_list(l2_list)
    result = addTwoNumbers(l1, l2)
    result_list = linked_list_to_list(result)
    return result_list == expected_list
def main():
    test_cases = [
        ([2, 4, 3], [5, 6, 4], [7, 0, 8]),
        ([0], [0], [0]),
        ([9, 9, 9, 9, 9, 9, 9], [9, 9, 9, 9], [8, 9, 9, 9, 0, 0, 0, 1]),
        ([9], [1,9,9,9,9,9,9,9,9,9], [0,0,0,0,0,0,0,0,0,0,1])
    ]
    correct_count = 0
    total_tests = len(test_cases)
    for l1_list, l2_list, expected_list in test_cases:
        test_result = run_tests(l1_list, l2_list, expected_list)
        print(test_result)
        if test_result:
            correct_count += 1
    print(f"{correct_count}/{total_tests}")
if __name__ == "__main__":
    main()</t>
  </si>
  <si>
    <t>def lengthOfLongestSubstring(s):
    char_index_map = {}
    max_length = 0
    start = 0
    for end, char in enumerate(s):
        if char in char_index_map and char_index_map[char] &gt;= start:
            start = char_index_map[char] + 1
        char_index_map[char] = end
        max_length = max(max_length, end - start + 1)
    return max_length
def run_tests(s, expected):
    result = lengthOfLongestSubstring(s)
    return result == expected
def main():
    test_cases = [
        ("abcabcbb", 3),
        ("bbbbb", 1),
        ("pwwkew", 3),
        ("", 0),
        (" ", 1),
        ("au", 2),
        ("dvdf", 3)
    ]
    correct_count = 0
    total_tests = len(test_cases)
    for s, expected in test_cases:
        test_result = run_tests(s, expected)
        print(test_result)
        if test_result:
            correct_count += 1
    print(f"{correct_count}/{total_tests}")
if __name__ == "__main__":
    main()</t>
  </si>
  <si>
    <t>def findMedianSortedArrays(nums1, nums2):
    merged = []
    i = 0
    j = 0
    while i &lt; len(nums1) and j &lt; len(nums2):
        if nums1[i] &lt;= nums2[j]:
            merged.append(nums1[i])
            i += 1
        else:
            merged.append(nums2[j])
            j += 1
    while i &lt; len(nums1):
        merged.append(nums1[i])
        i += 1
    while j &lt; len(nums2):
        merged.append(nums2[j])
        j += 1
    total_length = len(merged)
    if total_length % 2 == 0:
        return (merged[total_length // 2 - 1] + merged[total_length // 2]) / 2.0
    else:
        return float(merged[total_length // 2])
def run_tests(nums1, nums2, expected):
    result = findMedianSortedArrays(nums1, nums2)
    return result == expected
def main():
    test_cases = [
        ([1, 3], [2], 2.0),
        ([1, 2], [3, 4], 2.5),
        ([0, 0], [0, 0], 0.0),
        ([], [1], 1.0),
        ([2], [], 2.0),
    ]
    correct_count = 0
    total_tests = len(test_cases)
    for nums1, nums2, expected in test_cases:
        test_result = run_tests(nums1, nums2, expected)
        print(test_result)
        if test_result:
            correct_count += 1
    print(f"{correct_count}/{total_tests}")
if __name__ == "__main__":
    main()</t>
  </si>
  <si>
    <t>def isMatch(s, p):
    m, n = len(s), len(p)
    dp = [[False] * (n + 1) for _ in range(m + 1)]
    dp[0][0] = True
    for j in range(1, n + 1):
        if p[j - 1] == '*':
            dp[0][j] = dp[0][j - 2]
    for i in range(1, m + 1):
        for j in range(1, n + 1):
            if p[j - 1] == '.' or p[j - 1] == s[i - 1]:
                dp[i][j] = dp[i - 1][j - 1]
            elif p[j - 1] == '*':
                dp[i][j] = dp[i][j - 2]
                if p[j - 2] == '.' or p[j - 2] == s[i - 1]:
                    dp[i][j] = dp[i][j] or dp[i - 1][j]
            else:
                dp[i][j] = False
    return dp[m][n]
def run_tests(s, p, expected):
    result = isMatch(s, p)
    return result == expected
def main():
    test_cases = [
        ("aa", "a", False),
        ("aa", "a*", True),
        ("ab", ".*", True),
        ("aab", "c*a*b", True),
        ("mississippi", "mis*is*p*.", False),
        ("mississippi", "mis*is*ip*.", True),
        ("", "a*", True),
        ("", ".*", True),
        ("a", "", False)
    ]
    correct_count = 0
    total_tests = len(test_cases)
    for s, p, expected in test_cases:
        test_result = run_tests(s, p, expected)
        print(test_result)
        if test_result:
            correct_count += 1
    print(f"{correct_count}/{total_tests}")
if __name__ == "__main__":
    main()</t>
  </si>
  <si>
    <t>import heapq
class ListNode:
    def __init__(self, val=0, next=None):
        self.val = val
        self.next = next
    def __lt__(self, other):
        return self.val &lt; other.val
def mergeKLists(lists):
    dummy = ListNode(0)
    tail = dummy
    heap = []
    for i, lst in enumerate(lists):
        if lst:
            heapq.heappush(heap, (lst.val, i, lst))
    while heap:
        val, i, node = heapq.heappop(heap)
        tail.next = node
        tail = tail.next
        if node.next:
            heapq.heappush(heap, (node.next.val, i, node.next))
    return dummy.next
def list_to_linked_list(lst):
    dummy_head = ListNode(0)
    current = dummy_head
    for val in lst:
        current.next = ListNode(val)
        current = current.next
    return dummy_head.next
def linked_list_to_list(head):
    lst = []
    while head:
        lst.append(head.val)
        head = head.next
    return lst
def run_tests(lists_input, expected_list):
    lists = [list_to_linked_list(lst) for lst in lists_input]
    result = mergeKLists(lists)
    result_list = linked_list_to_list(result)
    return result_list == expected_list
def main():
    test_cases = [
        ([[1, 4, 5], [1, 3, 4], [2, 6]], [1, 1, 2, 3, 4, 4, 5, 6]),
        ([], []),
        ([[]], []),
        ([[1], [0]], [0,1])
    ]
    correct_count = 0
    total_tests = len(test_cases)
    for lists_input, expected_list in test_cases:
        test_result = run_tests(lists_input, expected_list)
        print(test_result)
        if test_result:
            correct_count += 1
    print(f"{correct_count}/{total_tests}")
if __name__ == "__main__":
    main()</t>
  </si>
  <si>
    <t>class ListNode:
    def __init__(self, val=0, next=None):
        self.val = val
        self.next = next
def addTwoNumbers(l1, l2):
    dummy_head = ListNode(0)
    current = dummy_head
    carry = 0
    while l1 or l2 or carry:
        val1 = l1.val if l1 else 0
        val2 = l2.val if l2 else 0
        sum_val = val1 + val2 + carry
        carry = sum_val // 10
        new_node = ListNode(sum_val % 10)
        current.next = new_node
        current = new_node
        if l1:
            l1 = l1.next
        if l2:
            l2 = l2.next
    return dummy_head.next
def list_to_linked_list(lst):
    dummy_head = ListNode(0)
    current = dummy_head
    for val in lst:
        current.next = ListNode(val)
        current = current.next
    return dummy_head.next
def linked_list_to_list(head):
    lst = []
    current = head
    while current:
        lst.append(current.val)
        current = current.next
    return lst
def run_tests():
    test_cases = [
        ([2, 4, 3], [5, 6, 4], [7, 0, 8]),
        ([0], [0], [0]),
        ([9, 9, 9, 9, 9, 9, 9], [9, 9, 9, 9], [8, 9, 9, 9, 0, 0, 0, 1]),
        ([9], [1,9,9,9,9,9,9,9,9,9], [0,0,0,0,0,0,0,0,0,0,1]),
    ]
    correct_count = 0
    total_tests = len(test_cases)
    for l1_list, l2_list, expected_list in test_cases:
        l1 = list_to_linked_list(l1_list)
        l2 = list_to_linked_list(l2_list)
        result_linked_list = addTwoNumbers(l1, l2)
        result_list = linked_list_to_list(result_linked_list)
        if result_list == expected_list:
            print("True")
            correct_count += 1
        else:
            print("False")
    print(f"{correct_count}/{total_tests}")
if __name__ == "__main__":
    run_tests()</t>
  </si>
  <si>
    <t>def lengthOfLongestSubstring(s):
    """
    Finds the length of the longest substring without repeating characters.
    Args:
        s: The input string.
    Returns:
        The length of the longest substring without repeating characters.
    """
    char_index_map = {}
    max_length = 0
    start = 0
    for end in range(len(s)):
        if s[end] in char_index_map and char_index_map[s[end]] &gt;= start:
            start = char_index_map[s[end]] + 1
        char_index_map[s[end]] = end
        max_length = max(max_length, end - start + 1)
    return max_length
def run_tests():
    test_cases = [
        ("abcabcbb", 3),
        ("bbbbb", 1),
        ("pwwkew", 3),
        ("", 0),
        (" ", 1),
        ("au", 2),
        ("dvdf", 3)
    ]
    correct_count = 0
    total_tests = len(test_cases)
    for input_string, expected_length in test_cases:
        result = lengthOfLongestSubstring(input_string)
        if result == expected_length:
            print("True")
            correct_count += 1
        else:
            print("False")
    print(f"{correct_count}/{total_tests}")
if __name__ == "__main__":
    run_tests()</t>
  </si>
  <si>
    <t>def findMedianSortedArrays(nums1, nums2):
    """
    Finds the median of two sorted arrays.
    Args:
        nums1: The first sorted array.
        nums2: The second sorted array.
    Returns:
        The median of the two sorted arrays.
    """
    merged_array = sorted(nums1 + nums2)
    n = len(merged_array)
    if n % 2 == 0:
        median = (merged_array[n // 2 - 1] + merged_array[n // 2]) / 2.0
    else:
        median = float(merged_array[n // 2])
    return median
def run_tests():
    test_cases = [
        ([1, 3], [2], 2.0),
        ([1, 2], [3, 4], 2.5),
        ([0, 0], [0, 0], 0.0),
        ([], [1], 1.0),
        ([2], [], 2.0),
        ([1,2,3], [4,5,6], 3.5)
    ]
    correct_count = 0
    total_tests = len(test_cases)
    for nums1, nums2, expected_median in test_cases:
        result = findMedianSortedArrays(nums1, nums2)
        if result == expected_median:
            print("True")
            correct_count += 1
        else:
            print("False")
    print(f"{correct_count}/{total_tests}")
if __name__ == "__main__":
    run_tests()</t>
  </si>
  <si>
    <t>def isMatch(s, p):
    """
    Checks if a string matches a regular expression pattern.
    Args:
        s: The input string.
        p: The regular expression pattern.
    Returns:
        True if the string matches the pattern, False otherwise.
    """
    m, n = len(s), len(p)
    dp = [[False] * (n + 1) for _ in range(m + 1)]
    dp[0][0] = True
    for j in range(1, n + 1):
        if p[j - 1] == '*':
            dp[0][j] = dp[0][j - 2]
    for i in range(1, m + 1):
        for j in range(1, n + 1):
            if p[j - 1] == '.' or p[j - 1] == s[i - 1]:
                dp[i][j] = dp[i - 1][j - 1]
            elif p[j - 1] == '*':
                dp[i][j] = dp[i][j - 2]
                if p[j - 2] == '.' or p[j - 2] == s[i - 1]:
                    dp[i][j] = dp[i][j] or dp[i - 1][j]
            else:
                dp[i][j] = False
    return dp[m][n]
def run_tests():
    test_cases = [
        ("aa", "a", False),
        ("aa", "a*", True),
        ("ab", ".*", True),
        ("aab", "c*a*b", True),
        ("mississippi", "mis*is*p*.", False),
        ("mississippi", "mis*is*ip*.", True),
        ("", "", True),
        ("", "a*", True),
        ("a", "", False)
    ]
    correct_count = 0
    total_tests = len(test_cases)
    for s, p, expected_result in test_cases:
        result = isMatch(s, p)
        if result == expected_result:
            print("True")
            correct_count += 1
        else:
            print("False")
    print(f"{correct_count}/{total_tests}")
if __name__ == "__main__":
    run_tests()</t>
  </si>
  <si>
    <t>import heapq
class ListNode:
    def __init__(self, val=0, next=None):
        self.val = val
        self.next = next
    def __lt__(self, other):
        return self.val &lt; other.val
def mergeKLists(lists):
    """
    Merges k sorted linked lists into one sorted linked list.
    Args:
        lists: A list of k sorted linked lists.
    Returns:
        The merged sorted linked list.
    """
    if not lists:
        return None
    heap = []
    for head in lists:
        if head:
            heapq.heappush(heap, (head.val, head))  # Push (value, node)
    dummy = ListNode(0)
    current = dummy
    while heap:
        val, node = heapq.heappop(heap)
        current.next = node
        current = current.next
        if node.next:
            heapq.heappush(heap, (node.next.val, node.next))
    return dummy.next
def list_to_linked_list(lst):
    dummy_head = ListNode(0)
    current = dummy_head
    for val in lst:
        current.next = ListNode(val)
        current = current.next
    return dummy_head.next
def linked_list_to_list(head):
    lst = []
    current = head
    while current:
        lst.append(current.val)
        current = current.next
    return lst
def run_tests():
      test_cases = [
        ([[1, 4, 5], [1, 3, 4], [2, 6]], [1, 1, 2, 3, 4, 4, 5, 6]),
        ([], []),
        ([[]], []),
          ([[1],[0]],[0,1])
    ]
      correct_count = 0
      total_tests = len(test_cases)
      for lists_input, expected_output in test_cases:
        linked_lists = [list_to_linked_list(lst) for lst in lists_input]
        merged_list = mergeKLists(linked_lists)
        result_list = linked_list_to_list(merged_list)
        if result_list == expected_output:
            print("True")
            correct_count += 1
        else:
          print("False")
      print(f"{correct_count}/{total_tests}")
if __name__ == "__main__":
    run_tests()</t>
  </si>
  <si>
    <t>loops: 5, conditionals: 5</t>
  </si>
  <si>
    <t>class ListNode:
    def __init__(self, val=0, next=None):
        self.val = val
        self.next = next
def addTwoNumbers(l1, l2):
    dummy_head = ListNode(0)
    current = dummy_head
    carry = 0
    while l1 or l2 or carry:
        val1 = l1.val if l1 else 0
        val2 = l2.val if l2 else 0
        total_sum = val1 + val2 + carry
        carry = total_sum // 10
        digit = total_sum % 10
        current.next = ListNode(digit)
        current = current.next
        if l1:
            l1 = l1.next
        if l2:
            l2 = l2.next
    return dummy_head.next
def list_to_linked_list(lst):
    dummy_head = ListNode(0)
    current = dummy_head
    for val in lst:
        current.next = ListNode(val)
        current = current.next
    return dummy_head.next
def linked_list_to_list(head):
    lst = []
    current = head
    while current:
        lst.append(current.val)
        current = current.next
    return lst
def run_tests(addTwoNumbers):
    test_cases = [
        ([2, 4, 3], [5, 6, 4], [7, 0, 8]),
        ([0], [0], [0]),
        ([9, 9, 9, 9, 9, 9, 9], [9, 9, 9, 9], [8, 9, 9, 9, 0, 0, 0, 1]),
        ([9,9], [1], [0,0,1])
    ]
    correct_count = 0
    total_tests = len(test_cases)
    for l1_list, l2_list, expected_list in test_cases:
        l1 = list_to_linked_list(l1_list)
        l2 = list_to_linked_list(l2_list)
        result_linked_list = addTwoNumbers(l1, l2)
        result_list = linked_list_to_list(result_linked_list)
        if result_list == expected_list:
            print("True")
            correct_count += 1
        else:
            print("False")
    print(f"{correct_count}/{total_tests}")
run_tests(addTwoNumbers)</t>
  </si>
  <si>
    <t>def lengthOfLongestSubstring(s):
    char_index_map = {}
    max_length = 0
    start = 0
    for end in range(len(s)):
        if s[end] in char_index_map and char_index_map[s[end]] &gt;= start:
            start = char_index_map[s[end]] + 1
        char_index_map[s[end]] = end
        max_length = max(max_length, end - start + 1)
    return max_length
def run_tests(lengthOfLongestSubstring):
    test_cases = [
        ("abcabcbb", 3),
        ("bbbbb", 1),
        ("pwwkew", 3),
        ("", 0),
        (" ", 1),
        ("au", 2),
        ("dvdf", 3)
    ]
    correct_count = 0
    total_tests = len(test_cases)
    for s, expected in test_cases:
        result = lengthOfLongestSubstring(s)
        if result == expected:
            print("True")
            correct_count += 1
        else:
            print("False")
    print(f"{correct_count}/{total_tests}")
run_tests(lengthOfLongestSubstring)</t>
  </si>
  <si>
    <t>def findMedianSortedArrays(nums1, nums2):
    merged_array = sorted(nums1 + nums2)
    total_length = len(merged_array)
    if total_length % 2 == 0:
        median = (merged_array[total_length // 2 - 1] + merged_array[total_length // 2]) / 2.0
    else:
        median = merged_array[total_length // 2]
    return median
def run_tests(findMedianSortedArrays):
    test_cases = [
        ([1, 3], [2], 2.00000),
        ([1, 2], [3, 4], 2.50000),
        ([0, 0], [0, 0], 0.00000),
        ([], [1], 1.00000),
        ([2], [], 2.00000),
        ([1,2,3], [4,5,6], 3.5),
        ([1,2], [-1,3], 1.5)
    ]
    correct_count = 0
    total_tests = len(test_cases)
    for nums1, nums2, expected in test_cases:
        result = findMedianSortedArrays(nums1, nums2)
        if result == expected:
            print("True")
            correct_count += 1
        else:
            print("False")
    print(f"{correct_count}/{total_tests}")
run_tests(findMedianSortedArrays)</t>
  </si>
  <si>
    <t>def isMatch(s, p):
    m, n = len(s), len(p)
    dp = [[False] * (n + 1) for _ in range(m + 1)]
    dp[0][0] = True
    for j in range(1, n + 1):
        if p[j - 1] == '*':
            dp[0][j] = dp[0][j - 2]
    for i in range(1, m + 1):
        for j in range(1, n + 1):
            if p[j - 1] == '.' or p[j - 1] == s[i - 1]:
                dp[i][j] = dp[i - 1][j - 1]
            elif p[j - 1] == '*':
                dp[i][j] = dp[i][j - 2]
                if p[j - 2] == '.' or p[j - 2] == s[i - 1]:
                    dp[i][j] = dp[i][j] or dp[i - 1][j]
            else:
                dp[i][j] = False
    return dp[m][n]
def run_tests(isMatch):
    test_cases = [
        ("aa", "a", False),
        ("aa", "a*", True),
        ("ab", ".*", True),
        ("aab", "c*a*b", True),
        ("mississippi", "mis*is*p*.", False),
        ("", "", True),
        ("a", "", False),
        ("", "a*", True),
        ("ab", ".*c", False),
        ("aaa", "ab*a*c*a", True)
    ]
    correct_count = 0
    total_tests = len(test_cases)
    for s, p, expected in test_cases:
        result = isMatch(s, p)
        if result == expected:
            print("True")
            correct_count += 1
        else:
            print("False")
    print(f"{correct_count}/{total_tests}")
run_tests(isMatch)</t>
  </si>
  <si>
    <t>import heapq
class ListNode:
    def __init__(self, val=0, next=None):
        self.val = val
        self.next = next
def mergeKLists(lists):
    """
    Merges k sorted linked lists into one sorted linked list.
    Args:
        lists: A list of k sorted linked lists.
    Returns:
        The head of the merged sorted linked list.
    """
    min_heap = []
    for i, head in enumerate(lists):
        if head:
            heapq.heappush(min_heap, (head.val, i, head))
    dummy = ListNode()
    tail = dummy
    while min_heap:
        val, i, node = heapq.heappop(min_heap)
        tail.next = node
        tail = tail.next
        if node.next:
            heapq.heappush(min_heap, (node.next.val, i, node.next))
    return dummy.next
def list_to_linked_list(lst):
    """Converts a list to a linked list."""
    dummy = ListNode()
    tail = dummy
    for val in lst:
        tail.next = ListNode(val)
        tail = tail.next
    return dummy.next
def linked_list_to_list(head):
    """Converts a linked list to a list."""
    lst = []
    while head:
        lst.append(head.val)
        head = head.next
    return lst
def run_tests(func):
    """Runs tests for the mergeKLists function."""
    test_cases = [
        {
            "input": [[1, 4, 5], [1, 3, 4], [2, 6]],
            "expected": [1, 1, 2, 3, 4, 4, 5, 6],
        },
        {
            "input": [],
            "expected": [],
        },
        {
            "input": [[]],
            "expected": [],
        },
        {
            "input": [[1], [0]],
            "expected": [0, 1]
        }
    ]
    correct_count = 0
    total_tests = len(test_cases)
    for i, test_case in enumerate(test_cases):
        input_lists = [list_to_linked_list(lst) for lst in test_case["input"]]
        expected_list = test_case["expected"]
        result_head = func(input_lists)
        result_list = linked_list_to_list(result_head)
        if result_list == expected_list:
            print(f"True")
            correct_count += 1
        else:
            print(f"False")
            print(f"  Input: {test_case['input']}")
            print(f"  Expected: {expected_list}")
            print(f"  Got: {result_list}")
    print(f"{correct_count}/{total_tests}")
if __name__ == "__main__":
    run_tests(mergeKLists)</t>
  </si>
  <si>
    <t>class ListNode:
    def __init__(self, val=0, next=None):
        self.val = val
        self.next = next
def addTwoNumbers(l1, l2):
    dummy_head = ListNode(0)
    current = dummy_head
    carry = 0
    while l1 or l2 or carry:
        val1 = l1.val if l1 else 0
        val2 = l2.val if l2 else 0
        sum_val = val1 + val2 + carry
        carry = sum_val // 10
        new_node = ListNode(sum_val % 10)
        current.next = new_node
        current = new_node
        l1 = l1.next if l1 else None
        l2 = l2.next if l2 else None
    return dummy_head.next
def list_to_linked_list(lst):
    dummy_head = ListNode(0)
    current = dummy_head
    for val in lst:
        current.next = ListNode(val)
        current = current.next
    return dummy_head.next
def linked_list_to_list(head):
    lst = []
    current = head
    while current:
        lst.append(current.val)
        current = current.next
    return lst
def run_tests(func):
    test_cases = [
        ([2, 4, 3], [5, 6, 4], [7, 0, 8]),
        ([0], [0], [0]),
        ([9, 9, 9, 9, 9, 9, 9], [9, 9, 9, 9], [8, 9, 9, 9, 0, 0, 0, 1]),
        ([9], [1,9,9,9,9,9,9,9,9,9], [0,0,0,0,0,0,0,0,0,0,1]),
    ]
    passed_tests = 0
    total_tests = len(test_cases)
    for i, (l1_list, l2_list, expected_list) in enumerate(test_cases):
        l1 = list_to_linked_list(l1_list)
        l2 = list_to_linked_list(l2_list)
        result_linked_list = func(l1, l2)
        result_list = linked_list_to_list(result_linked_list)
        if result_list == expected_list:
            print(f"Test {i+1}: True")
            passed_tests += 1
        else:
            print(f"Test {i+1}: False")
    print(f"\n{passed_tests}/{total_tests} tests passed.")
run_tests(addTwoNumbers)</t>
  </si>
  <si>
    <t>loops: 4, conditionals: 1</t>
  </si>
  <si>
    <t>def longest_substring_without_repeating_characters(s: str) -&gt; int:
    """
    Given a string s, find the length of the longest substring without repeating characters.
    """
    char_index_map = {}
    max_length = 0
    start = 0
    for end, char in enumerate(s):
        if char in char_index_map and char_index_map[char] &gt;= start:
            start = char_index_map[char] + 1
        char_index_map[char] = end
        max_length = max(max_length, end - start + 1)
    return max_length
def test_longest_substring_without_repeating_characters():
    test_cases = [
        ("abcabcbb", 3),
        ("bbbbb", 1),
        ("pwwkew", 3),
        ("", 0),
        (" ", 1),
        ("au", 2),
        ("dvdf", 3),
    ]
    passed_tests = 0
    total_tests = len(test_cases)
    for s, expected_output in test_cases:
        actual_output = longest_substring_without_repeating_characters(s)
        if actual_output == expected_output:
            print("True")
            passed_tests += 1
        else:
            print("False")
    print(f"{passed_tests}/{total_tests}")
if __name__ == "__main__":
    test_longest_substring_without_repeating_characters()</t>
  </si>
  <si>
    <t>def find_median_sorted_arrays(nums1, nums2):
    """
    Given two sorted arrays nums1 and nums2 of size m and n respectively,
    return the median of the two sorted arrays.
    """
    merged_array = sorted(nums1 + nums2)
    total_length = len(merged_array)
    if total_length % 2 == 0:
        median = (merged_array[total_length // 2 - 1] + merged_array[total_length // 2]) / 2
    else:
        median = merged_array[total_length // 2]
    return median
def test_find_median_sorted_arrays():
    test_cases = [
        ([1, 3], [2], 2.00000),
        ([1, 2], [3, 4], 2.50000),
        ([0, 0], [0, 0], 0.00000),
        ([], [1], 1.00000),
        ([2], [], 2.00000),
    ]
    passed_tests = 0
    total_tests = len(test_cases)
    for nums1, nums2, expected_output in test_cases:
        actual_output = find_median_sorted_arrays(nums1, nums2)
        if actual_output == expected_output:
            print("True")
            passed_tests += 1
        else:
            print("False")
    print(f"{passed_tests}/{total_tests}")
if __name__ == "__main__":
    test_find_median_sorted_arrays()</t>
  </si>
  <si>
    <t>def is_match(s: str, p: str) -&gt; bool:
    """
    Given an input string (s) and a pattern (p), implement regular expression matching
    with support for '.' and '*' where:
    '.' Matches any single character.
    '*' Matches zero or more of the preceding element.
    The matching should cover the entire input string (not partial).
    """
    m, n = len(s), len(p)
    dp = [[False] * (n + 1) for _ in range(m + 1)]
    dp[0][0] = True
    for j in range(1, n + 1):
        if p[j - 1] == '*':
            dp[0][j] = dp[0][j - 2]
    for i in range(1, m + 1):
        for j in range(1, n + 1):
            if p[j - 1] == '.' or p[j - 1] == s[i - 1]:
                dp[i][j] = dp[i - 1][j - 1]
            elif p[j - 1] == '*':
                dp[i][j] = dp[i][j - 2]
                if p[j - 2] == '.' or p[j - 2] == s[i - 1]:
                    dp[i][j] = dp[i][j] or dp[i - 1][j]
    return dp[m][n]
def test_is_match():
    test_cases = [
        ("aa", "a", False),
        ("aa", "a*", True),
        ("ab", ".*", True),
        ("aab", "c*a*b", True),
        ("mississippi", "mis*is*p*.", False),
        ("", "", True),
        ("a", "", False),
        ("", "a*", True),
        ("ab", ".*c", False)
    ]
    passed_tests = 0
    total_tests = len(test_cases)
    for s, p, expected_output in test_cases:
        actual_output = is_match(s, p)
        if actual_output == expected_output:
            print("True")
            passed_tests += 1
        else:
            print("False")
    print(f"{passed_tests}/{total_tests}")
if __name__ == "__main__":
    test_is_match()</t>
  </si>
  <si>
    <t>import heapq
class ListNode:
    def __init__(self, val=0, next=None):
        self.val = val
        self.next = next
def mergeKLists(lists):
    """
    Merges k sorted linked lists into one sorted linked list.
    Args:
        lists: A list of k sorted linked lists.
    Returns:
        The head of the merged sorted linked list.
    """
    min_heap = []
    for i, head in enumerate(lists):
        if head:
            heapq.heappush(min_heap, (head.val, i, head))
    dummy = ListNode()
    tail = dummy
    while min_heap:
        val, i, node = heapq.heappop(min_heap)
        tail.next = node
        tail = tail.next
        if node.next:
            heapq.heappush(min_heap, (node.next.val, i, node.next))
    return dummy.next
def list_to_linked_list(lst):
    """Converts a list to a linked list."""
    dummy = ListNode()
    tail = dummy
    for val in lst:
        tail.next = ListNode(val)
        tail = tail.next
    return dummy.next
def linked_list_to_list(head):
    """Converts a linked list to a list."""
    lst = []
    while head:
        lst.append(head.val)
        head = head.next
    return lst
def test_mergeKLists(lists, expected_output):
    """
    Tests the mergeKLists function.
    Args:
        lists: A list of k sorted linked lists.
        expected_output: The expected output list.
    """
    input_linked_lists = [list_to_linked_list(lst) for lst in lists]
    merged_list = mergeKLists(input_linked_lists)
    output_list = linked_list_to_list(merged_list)
    return output_list == expected_output
def run_tests():
    """Runs test cases for the mergeKLists function."""
    test_cases = [
        ([[1, 4, 5], [1, 3, 4], [2, 6]], [1, 1, 2, 3, 4, 4, 5, 6]),
        ([], []),
        ([[]], []),
        ([[1], [0]], [0, 1]),
    ]
    passed_tests = 0
    total_tests = len(test_cases)
    for i, (lists, expected_output) in enumerate(test_cases):
        result = test_mergeKLists(lists, expected_output)
        print(result)
        if result:
            passed_tests += 1
    print(f"{passed_tests}/{total_tests} tests passed")
if __name__ == "__main__":
    run_tests()</t>
  </si>
  <si>
    <t>True_x000D_
True_x000D_
True_x000D_
True_x000D_
4/4 tests passed</t>
  </si>
  <si>
    <t>class ListNode:
    def __init__(self, val=0, next=None):
        self.val = val
        self.next = next
def addTwoNumbers(l1, l2):
    dummy_head = ListNode(0)
    current = dummy_head
    carry = 0
    while l1 or l2 or carry:
        val1 = l1.val if l1 else 0
        val2 = l2.val if l2 else 0
        total = val1 + val2 + carry
        carry = total // 10
        current.next = ListNode(total % 10)
        current = current.next
        if l1:
            l1 = l1.next
        if l2:
            l2 = l2.next
    return dummy_head.next
def list_to_linked_list(lst):
    dummy_head = ListNode(0)
    current = dummy_head
    for val in lst:
        current.next = ListNode(val)
        current = current.next
    return dummy_head.next
def linked_list_to_list(head):
    lst = []
    current = head
    while current:
        lst.append(current.val)
        current = current.next
    return lst
def run_tests():
    test_cases = [
        ([2, 4, 3], [5, 6, 4], [7, 0, 8]),
        ([0], [0], [0]),
        ([9, 9, 9, 9, 9, 9, 9], [9, 9, 9, 9], [8, 9, 9, 9, 0, 0, 0, 1]),
        ([9], [1,9,9,9,9,9,9,9,9,9], [0,0,0,0,0,0,0,0,0,0,1]),
    ]
    correct_count = 0
    total_tests = len(test_cases)
    for l1_list, l2_list, expected_list in test_cases:
        l1 = list_to_linked_list(l1_list)
        l2 = list_to_linked_list(l2_list)
        result_linked_list = addTwoNumbers(l1, l2)
        result_list = linked_list_to_list(result_linked_list)
        test_result = result_list == expected_list
        if test_result:
            correct_count += 1
            print("True")
        else:
           print("False")
    print(f"{correct_count}/{total_tests}")
run_tests()</t>
  </si>
  <si>
    <t>def longest_substring_without_repeating_characters(s: str) -&gt; int:
    """
    Given a string s, find the length of the longest substring without repeating characters.
    """
    char_index_map = {}
    max_length = 0
    start = 0
    for end, char in enumerate(s):
        if char in char_index_map and char_index_map[char] &gt;= start:
            start = char_index_map[char] + 1
        char_index_map[char] = end
        max_length = max(max_length, end - start + 1)
    return max_length
def test_longest_substring_without_repeating_characters():
    test_cases = [
        ("abcabcbb", 3),
        ("bbbbb", 1),
        ("pwwkew", 3),
        ("", 0),
        ("dvdf", 3),
        ("abba",2)
    ]
    passed_tests = 0
    total_tests = len(test_cases)
    for s, expected_output in test_cases:
        actual_output = longest_substring_without_repeating_characters(s)
        result = actual_output == expected_output
        print(result)
        if result:
            passed_tests += 1
    print(f"{passed_tests}/{total_tests}")
if __name__ == "__main__":
    test_longest_substring_without_repeating_characters()</t>
  </si>
  <si>
    <t>def find_median_sorted_arrays(nums1: list[int], nums2: list[int]) -&gt; float:
    """
    Given two sorted arrays nums1 and nums2 of size m and n respectively,
    return the median of the two sorted arrays.
    """
    merged_array = sorted(nums1 + nums2)
    total_length = len(merged_array)
    if total_length % 2 == 0:
        median = (merged_array[total_length // 2 - 1] + merged_array[total_length // 2]) / 2.0
    else:
        median = merged_array[total_length // 2]
    return median
def test_find_median_sorted_arrays():
    test_cases = [
        ([1, 3], [2], 2.0),
        ([1, 2], [3, 4], 2.5),
        ([0, 0], [0, 0], 0.0),
        ([], [1], 1.0),
        ([2], [], 2.0),
    ]
    passed_tests = 0
    total_tests = len(test_cases)
    for nums1, nums2, expected_output in test_cases:
        actual_output = find_median_sorted_arrays(nums1, nums2)
        result = actual_output == expected_output
        print(result)
        if result:
            passed_tests += 1
    print(f"{passed_tests}/{total_tests}")
if __name__ == "__main__":
    test_find_median_sorted_arrays()</t>
  </si>
  <si>
    <t>def is_match(s: str, p: str) -&gt; bool:
    """
    Given an input string (s) and a pattern (p), implement regular expression matching
    with support for '.' and '*' where:
        '.' Matches any single character.
        '*' Matches zero or more of the preceding element.
    The matching should cover the entire input string (not partial).
    """
    m, n = len(s), len(p)
    dp = [[False] * (n + 1) for _ in range(m + 1)]
    dp[0][0] = True
    for j in range(1, n + 1):
        if p[j - 1] == '*':
            dp[0][j] = dp[0][j - 2]
    for i in range(1, m + 1):
        for j in range(1, n + 1):
            if p[j - 1] == '.' or p[j - 1] == s[i - 1]:
                dp[i][j] = dp[i - 1][j - 1]
            elif p[j - 1] == '*':
                dp[i][j] = dp[i][j - 2]
                if p[j - 2] == '.' or p[j - 2] == s[i - 1]:
                    dp[i][j] = dp[i][j] or dp[i - 1][j]
            else:
                dp[i][j] = False
    return dp[m][n]
def test_is_match():
    test_cases = [
        ("aa", "a", False),
        ("aa", "a*", True),
        ("ab", ".*", True),
        ("aab", "c*a*b", True),
        ("mississippi", "mis*is*p*.", False),
        ("", "a*", True),
        ("", ".", False),
        ("a", "ab*", True)
    ]
    passed_tests = 0
    total_tests = len(test_cases)
    for s, p, expected_output in test_cases:
        actual_output = is_match(s, p)
        result = actual_output == expected_output
        print(result)
        if result:
            passed_tests += 1
    print(f"{passed_tests}/{total_tests}")
if __name__ == "__main__":
    test_is_match()</t>
  </si>
  <si>
    <t>class ListNode:
    def __init__(self, val=0, next=None):
        self.val = val
        self.next = next
def mergeKLists(lists):
    import heapq
    dummy = ListNode(-1)
    tail = dummy
    heap = []
    for i, lst in enumerate(lists):
        if lst:
            heapq.heappush(heap, (lst.val, i, lst))
    while heap:
        val, i, node = heapq.heappop(heap)
        tail.next = node
        tail = tail.next
        if node.next:
            heapq.heappush(heap, (node.next.val, i, node.next))
    return dummy.next
def list_to_linked_list(lst):
    dummy_head = ListNode(0)
    current = dummy_head
    for val in lst:
        current.next = ListNode(val)
        current = current.next
    return dummy_head.next
def linked_list_to_list(head):
    lst = []
    current = head
    while current:
        lst.append(current.val)
        current = current.next
    return lst
def run_tests():
    test_cases = [
        ([[1, 4, 5], [1, 3, 4], [2, 6]], [1, 1, 2, 3, 4, 4, 5, 6]),
        ([], []),
        ([[]], []),
    ]
    test_results = []
    correct_tests = 0
    for lists, expected in test_cases:
        linked_lists = [list_to_linked_list(l) for l in lists]
        merged_list = mergeKLists(linked_lists)
        result_list = linked_list_to_list(merged_list)
        test_result = result_list == expected
        test_results.append(test_result)
        if(test_result):
            correct_tests+=1
        print(test_result)
    print(f"{correct_tests}/{len(test_cases)}")
run_tests()</t>
  </si>
  <si>
    <t>Model</t>
  </si>
  <si>
    <t>Temperature</t>
  </si>
  <si>
    <t>Avg Accuracy</t>
  </si>
  <si>
    <t>Avg Time (s)</t>
  </si>
  <si>
    <t>Avg Memory (MB)</t>
  </si>
  <si>
    <t>Global Best?</t>
  </si>
  <si>
    <t>Config Label</t>
  </si>
  <si>
    <t>Best per Model?</t>
  </si>
  <si>
    <t xml:space="preserve">EXPLICACIÓN DETALLADA DE LAS VARIABLES Y FÓRMULAS APLICADAS:
Hoja 'Raw Data':
 - Las columnas originales se importan directamente desde el CSV.
 - 'Total Tests' (columna M) se calcula como: =H + I, donde H = true_count y I = false_count.
 - 'Accuracy' (columna N) se calcula como: =IF(M&gt;0, H/M, ""), mostrando la precisión.
Hoja 'Comparisons':
 - Se listan todas las configuraciones únicas definidas por [model, temperature, top_p, top_k].
 - 'Avg Accuracy', 'Avg Time (s)' y 'Avg Memory (MB)' se calculan con AVERAGEIFS sobre 'Raw Data',
   filtrando por cada configuración.
 - 'Global Best?': Se marca con "Yes" la fila que tenga el valor máximo de Avg Accuracy global (todo el libro).
 - 'Config Label': Concatenación de model y los parámetros (temperature, top_p, top_k) para etiquetas descriptivas.
 - 'Best per Model?': Se marca con "Yes" la configuración de mayor Avg Accuracy para cada modelo, usando MAXIFS.
La hoja 'Explanation' permite verificar de manera transparente el cálculo de cada variable,
ya que al seleccionar las celdas derivadas se visualizarán las fórmulas utilizadas.
</t>
  </si>
  <si>
    <t>Visualización de Métricas por Configuración (ver 'Config Label')</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</si>
</sst>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Promedio Accuracy por Configuración</a:t>
            </a:r>
          </a:p>
        </c:rich>
      </c:tx>
      <c:layout/>
    </c:title>
    <c:plotArea>
      <c:layout/>
      <c:barChart>
        <c:barDir val="col"/>
        <c:grouping val="clustered"/>
        <c:ser>
          <c:idx val="0"/>
          <c:order val="0"/>
          <c:tx>
            <c:v>Avg Accuracy</c:v>
          </c:tx>
          <c:dLbls>
            <c:showVal val="1"/>
          </c:dLbls>
          <c:cat>
            <c:numRef>
              <c:f>Comparisons!$I$2:$I$37</c:f>
              <c:numCache>
                <c:formatCode>General</c:formatCode>
                <c:ptCount val="36"/>
                <c:pt idx="0">
                  <c:v>0</c:v>
                </c:pt>
                <c:pt idx="5">
                  <c:v>0</c:v>
                </c:pt>
                <c:pt idx="10">
                  <c:v>0</c:v>
                </c:pt>
                <c:pt idx="15">
                  <c:v>0</c:v>
                </c:pt>
                <c:pt idx="20">
                  <c:v>0</c:v>
                </c:pt>
                <c:pt idx="25">
                  <c:v>0</c:v>
                </c:pt>
                <c:pt idx="30">
                  <c:v>0</c:v>
                </c:pt>
                <c:pt idx="35">
                  <c:v>0</c:v>
                </c:pt>
              </c:numCache>
            </c:numRef>
          </c:cat>
          <c:val>
            <c:numRef>
              <c:f>Comparisons!$E$2:$E$37</c:f>
              <c:numCache>
                <c:formatCode>General</c:formatCode>
                <c:ptCount val="36"/>
                <c:pt idx="0">
                  <c:v>0</c:v>
                </c:pt>
                <c:pt idx="5">
                  <c:v>0</c:v>
                </c:pt>
                <c:pt idx="10">
                  <c:v>0</c:v>
                </c:pt>
                <c:pt idx="15">
                  <c:v>0</c:v>
                </c:pt>
                <c:pt idx="20">
                  <c:v>0</c:v>
                </c:pt>
                <c:pt idx="25">
                  <c:v>0</c:v>
                </c:pt>
                <c:pt idx="30">
                  <c:v>0</c:v>
                </c:pt>
                <c:pt idx="35">
                  <c:v>0</c:v>
                </c:pt>
              </c:numCache>
            </c:numRef>
          </c:val>
        </c:ser>
        <c:axId val="50010001"/>
        <c:axId val="50010002"/>
      </c:barChart>
      <c:catAx>
        <c:axId val="50010001"/>
        <c:scaling>
          <c:orientation val="minMax"/>
        </c:scaling>
        <c:axPos val="b"/>
        <c:title>
          <c:tx>
            <c:rich>
              <a:bodyPr/>
              <a:lstStyle/>
              <a:p>
                <a:pPr>
                  <a:defRPr/>
                </a:pPr>
                <a:r>
                  <a:rPr lang="en-US"/>
                  <a:t>Configuración</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a:lstStyle/>
              <a:p>
                <a:pPr>
                  <a:defRPr/>
                </a:pPr>
                <a:r>
                  <a:rPr lang="en-US"/>
                  <a:t>Avg Accuracy</a:t>
                </a:r>
              </a:p>
            </c:rich>
          </c:tx>
          <c:layout/>
        </c:title>
        <c:numFmt formatCode="General" sourceLinked="1"/>
        <c:tickLblPos val="nextTo"/>
        <c:crossAx val="50010001"/>
        <c:crosses val="autoZero"/>
        <c:crossBetween val="between"/>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Promedio Tiempo de Ejecución por Configuración</a:t>
            </a:r>
          </a:p>
        </c:rich>
      </c:tx>
      <c:layout/>
    </c:title>
    <c:plotArea>
      <c:layout/>
      <c:barChart>
        <c:barDir val="col"/>
        <c:grouping val="clustered"/>
        <c:ser>
          <c:idx val="0"/>
          <c:order val="0"/>
          <c:tx>
            <c:v>Avg Execution Time (s)</c:v>
          </c:tx>
          <c:dLbls>
            <c:showVal val="1"/>
          </c:dLbls>
          <c:cat>
            <c:numRef>
              <c:f>Comparisons!$I$2:$I$37</c:f>
              <c:numCache>
                <c:formatCode>General</c:formatCode>
                <c:ptCount val="36"/>
                <c:pt idx="0">
                  <c:v>0</c:v>
                </c:pt>
                <c:pt idx="5">
                  <c:v>0</c:v>
                </c:pt>
                <c:pt idx="10">
                  <c:v>0</c:v>
                </c:pt>
                <c:pt idx="15">
                  <c:v>0</c:v>
                </c:pt>
                <c:pt idx="20">
                  <c:v>0</c:v>
                </c:pt>
                <c:pt idx="25">
                  <c:v>0</c:v>
                </c:pt>
                <c:pt idx="30">
                  <c:v>0</c:v>
                </c:pt>
                <c:pt idx="35">
                  <c:v>0</c:v>
                </c:pt>
              </c:numCache>
            </c:numRef>
          </c:cat>
          <c:val>
            <c:numRef>
              <c:f>Comparisons!$F$2:$F$37</c:f>
              <c:numCache>
                <c:formatCode>General</c:formatCode>
                <c:ptCount val="36"/>
                <c:pt idx="0">
                  <c:v>0</c:v>
                </c:pt>
                <c:pt idx="5">
                  <c:v>0</c:v>
                </c:pt>
                <c:pt idx="10">
                  <c:v>0</c:v>
                </c:pt>
                <c:pt idx="15">
                  <c:v>0</c:v>
                </c:pt>
                <c:pt idx="20">
                  <c:v>0</c:v>
                </c:pt>
                <c:pt idx="25">
                  <c:v>0</c:v>
                </c:pt>
                <c:pt idx="30">
                  <c:v>0</c:v>
                </c:pt>
                <c:pt idx="35">
                  <c:v>0</c:v>
                </c:pt>
              </c:numCache>
            </c:numRef>
          </c:val>
        </c:ser>
        <c:axId val="50020001"/>
        <c:axId val="50020002"/>
      </c:barChart>
      <c:catAx>
        <c:axId val="50020001"/>
        <c:scaling>
          <c:orientation val="minMax"/>
        </c:scaling>
        <c:axPos val="b"/>
        <c:title>
          <c:tx>
            <c:rich>
              <a:bodyPr/>
              <a:lstStyle/>
              <a:p>
                <a:pPr>
                  <a:defRPr/>
                </a:pPr>
                <a:r>
                  <a:rPr lang="en-US"/>
                  <a:t>Configuración</a:t>
                </a:r>
              </a:p>
            </c:rich>
          </c:tx>
          <c:layout/>
        </c:title>
        <c:numFmt formatCode="General" sourceLinked="1"/>
        <c:tickLblPos val="nextTo"/>
        <c:crossAx val="50020002"/>
        <c:crosses val="autoZero"/>
        <c:auto val="1"/>
        <c:lblAlgn val="ctr"/>
        <c:lblOffset val="100"/>
      </c:catAx>
      <c:valAx>
        <c:axId val="50020002"/>
        <c:scaling>
          <c:orientation val="minMax"/>
        </c:scaling>
        <c:axPos val="l"/>
        <c:majorGridlines/>
        <c:title>
          <c:tx>
            <c:rich>
              <a:bodyPr/>
              <a:lstStyle/>
              <a:p>
                <a:pPr>
                  <a:defRPr/>
                </a:pPr>
                <a:r>
                  <a:rPr lang="en-US"/>
                  <a:t>Avg Time (s)</a:t>
                </a:r>
              </a:p>
            </c:rich>
          </c:tx>
          <c:layout/>
        </c:title>
        <c:numFmt formatCode="General" sourceLinked="1"/>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Promedio Uso de Memoria por Configuración</a:t>
            </a:r>
          </a:p>
        </c:rich>
      </c:tx>
      <c:layout/>
    </c:title>
    <c:plotArea>
      <c:layout/>
      <c:barChart>
        <c:barDir val="col"/>
        <c:grouping val="clustered"/>
        <c:ser>
          <c:idx val="0"/>
          <c:order val="0"/>
          <c:tx>
            <c:v>Avg Memory (MB)</c:v>
          </c:tx>
          <c:dLbls>
            <c:showVal val="1"/>
          </c:dLbls>
          <c:cat>
            <c:numRef>
              <c:f>Comparisons!$I$2:$I$37</c:f>
              <c:numCache>
                <c:formatCode>General</c:formatCode>
                <c:ptCount val="36"/>
                <c:pt idx="0">
                  <c:v>0</c:v>
                </c:pt>
                <c:pt idx="5">
                  <c:v>0</c:v>
                </c:pt>
                <c:pt idx="10">
                  <c:v>0</c:v>
                </c:pt>
                <c:pt idx="15">
                  <c:v>0</c:v>
                </c:pt>
                <c:pt idx="20">
                  <c:v>0</c:v>
                </c:pt>
                <c:pt idx="25">
                  <c:v>0</c:v>
                </c:pt>
                <c:pt idx="30">
                  <c:v>0</c:v>
                </c:pt>
                <c:pt idx="35">
                  <c:v>0</c:v>
                </c:pt>
              </c:numCache>
            </c:numRef>
          </c:cat>
          <c:val>
            <c:numRef>
              <c:f>Comparisons!$G$2:$G$37</c:f>
              <c:numCache>
                <c:formatCode>General</c:formatCode>
                <c:ptCount val="36"/>
                <c:pt idx="0">
                  <c:v>0</c:v>
                </c:pt>
                <c:pt idx="5">
                  <c:v>0</c:v>
                </c:pt>
                <c:pt idx="10">
                  <c:v>0</c:v>
                </c:pt>
                <c:pt idx="15">
                  <c:v>0</c:v>
                </c:pt>
                <c:pt idx="20">
                  <c:v>0</c:v>
                </c:pt>
                <c:pt idx="25">
                  <c:v>0</c:v>
                </c:pt>
                <c:pt idx="30">
                  <c:v>0</c:v>
                </c:pt>
                <c:pt idx="35">
                  <c:v>0</c:v>
                </c:pt>
              </c:numCache>
            </c:numRef>
          </c:val>
        </c:ser>
        <c:axId val="50030001"/>
        <c:axId val="50030002"/>
      </c:barChart>
      <c:catAx>
        <c:axId val="50030001"/>
        <c:scaling>
          <c:orientation val="minMax"/>
        </c:scaling>
        <c:axPos val="b"/>
        <c:title>
          <c:tx>
            <c:rich>
              <a:bodyPr/>
              <a:lstStyle/>
              <a:p>
                <a:pPr>
                  <a:defRPr/>
                </a:pPr>
                <a:r>
                  <a:rPr lang="en-US"/>
                  <a:t>Configuración</a:t>
                </a:r>
              </a:p>
            </c:rich>
          </c:tx>
          <c:layout/>
        </c:title>
        <c:numFmt formatCode="General" sourceLinked="1"/>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Avg Memory (MB)</a:t>
                </a:r>
              </a:p>
            </c:rich>
          </c:tx>
          <c:layout/>
        </c:title>
        <c:numFmt formatCode="General" sourceLinked="1"/>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Execution Time vs. Accuracy</a:t>
            </a:r>
          </a:p>
        </c:rich>
      </c:tx>
      <c:layout/>
    </c:title>
    <c:plotArea>
      <c:layout/>
      <c:scatterChart>
        <c:scatterStyle val="lineMarker"/>
        <c:ser>
          <c:idx val="0"/>
          <c:order val="0"/>
          <c:tx>
            <c:v>Time vs Accuracy</c:v>
          </c:tx>
          <c:spPr>
            <a:ln w="28575">
              <a:noFill/>
            </a:ln>
          </c:spPr>
          <c:marker>
            <c:symbol val="circle"/>
            <c:size val="7"/>
          </c:marker>
          <c:dLbls>
            <c:dLblPos val="t"/>
            <c:showVal val="1"/>
          </c:dLbls>
          <c:xVal>
            <c:numRef>
              <c:f>Comparisons!$F$2:$F$37</c:f>
              <c:numCache>
                <c:formatCode>General</c:formatCode>
                <c:ptCount val="36"/>
                <c:pt idx="0">
                  <c:v>0</c:v>
                </c:pt>
                <c:pt idx="5">
                  <c:v>0</c:v>
                </c:pt>
                <c:pt idx="10">
                  <c:v>0</c:v>
                </c:pt>
                <c:pt idx="15">
                  <c:v>0</c:v>
                </c:pt>
                <c:pt idx="20">
                  <c:v>0</c:v>
                </c:pt>
                <c:pt idx="25">
                  <c:v>0</c:v>
                </c:pt>
                <c:pt idx="30">
                  <c:v>0</c:v>
                </c:pt>
                <c:pt idx="35">
                  <c:v>0</c:v>
                </c:pt>
              </c:numCache>
            </c:numRef>
          </c:xVal>
          <c:yVal>
            <c:numRef>
              <c:f>Comparisons!$E$2:$E$37</c:f>
              <c:numCache>
                <c:formatCode>General</c:formatCode>
                <c:ptCount val="36"/>
                <c:pt idx="0">
                  <c:v>0</c:v>
                </c:pt>
                <c:pt idx="5">
                  <c:v>0</c:v>
                </c:pt>
                <c:pt idx="10">
                  <c:v>0</c:v>
                </c:pt>
                <c:pt idx="15">
                  <c:v>0</c:v>
                </c:pt>
                <c:pt idx="20">
                  <c:v>0</c:v>
                </c:pt>
                <c:pt idx="25">
                  <c:v>0</c:v>
                </c:pt>
                <c:pt idx="30">
                  <c:v>0</c:v>
                </c:pt>
                <c:pt idx="35">
                  <c:v>0</c:v>
                </c:pt>
              </c:numCache>
            </c:numRef>
          </c:yVal>
        </c:ser>
        <c:axId val="50040001"/>
        <c:axId val="50040002"/>
      </c:scatterChart>
      <c:valAx>
        <c:axId val="50040001"/>
        <c:scaling>
          <c:orientation val="minMax"/>
        </c:scaling>
        <c:axPos val="b"/>
        <c:title>
          <c:tx>
            <c:rich>
              <a:bodyPr/>
              <a:lstStyle/>
              <a:p>
                <a:pPr>
                  <a:defRPr/>
                </a:pPr>
                <a:r>
                  <a:rPr lang="en-US"/>
                  <a:t>Avg Execution Time (s)</a:t>
                </a:r>
              </a:p>
            </c:rich>
          </c:tx>
          <c:layout/>
        </c:title>
        <c:numFmt formatCode="General" sourceLinked="1"/>
        <c:tickLblPos val="nextTo"/>
        <c:crossAx val="50040002"/>
        <c:crosses val="autoZero"/>
        <c:crossBetween val="midCat"/>
      </c:valAx>
      <c:valAx>
        <c:axId val="50040002"/>
        <c:scaling>
          <c:orientation val="minMax"/>
        </c:scaling>
        <c:axPos val="l"/>
        <c:majorGridlines/>
        <c:title>
          <c:tx>
            <c:rich>
              <a:bodyPr rot="-5400000" vert="horz"/>
              <a:lstStyle/>
              <a:p>
                <a:pPr>
                  <a:defRPr/>
                </a:pPr>
                <a:r>
                  <a:rPr lang="en-US"/>
                  <a:t>Avg Accuracy</a:t>
                </a:r>
              </a:p>
            </c:rich>
          </c:tx>
          <c:layout/>
        </c:title>
        <c:numFmt formatCode="General" sourceLinked="1"/>
        <c:tickLblPos val="nextTo"/>
        <c:crossAx val="50040001"/>
        <c:crosses val="autoZero"/>
        <c:crossBetween val="midCat"/>
      </c:valAx>
    </c:plotArea>
    <c:legend>
      <c:legendPos val="b"/>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Memory Usage vs. Accuracy</a:t>
            </a:r>
          </a:p>
        </c:rich>
      </c:tx>
      <c:layout/>
    </c:title>
    <c:plotArea>
      <c:layout/>
      <c:scatterChart>
        <c:scatterStyle val="lineMarker"/>
        <c:ser>
          <c:idx val="0"/>
          <c:order val="0"/>
          <c:tx>
            <c:v>Memory vs Accuracy</c:v>
          </c:tx>
          <c:spPr>
            <a:ln w="28575">
              <a:noFill/>
            </a:ln>
          </c:spPr>
          <c:marker>
            <c:symbol val="square"/>
            <c:size val="7"/>
          </c:marker>
          <c:dLbls>
            <c:showVal val="1"/>
          </c:dLbls>
          <c:xVal>
            <c:numRef>
              <c:f>Comparisons!$G$2:$G$37</c:f>
              <c:numCache>
                <c:formatCode>General</c:formatCode>
                <c:ptCount val="36"/>
                <c:pt idx="0">
                  <c:v>0</c:v>
                </c:pt>
                <c:pt idx="5">
                  <c:v>0</c:v>
                </c:pt>
                <c:pt idx="10">
                  <c:v>0</c:v>
                </c:pt>
                <c:pt idx="15">
                  <c:v>0</c:v>
                </c:pt>
                <c:pt idx="20">
                  <c:v>0</c:v>
                </c:pt>
                <c:pt idx="25">
                  <c:v>0</c:v>
                </c:pt>
                <c:pt idx="30">
                  <c:v>0</c:v>
                </c:pt>
                <c:pt idx="35">
                  <c:v>0</c:v>
                </c:pt>
              </c:numCache>
            </c:numRef>
          </c:xVal>
          <c:yVal>
            <c:numRef>
              <c:f>Comparisons!$E$2:$E$37</c:f>
              <c:numCache>
                <c:formatCode>General</c:formatCode>
                <c:ptCount val="36"/>
                <c:pt idx="0">
                  <c:v>0</c:v>
                </c:pt>
                <c:pt idx="5">
                  <c:v>0</c:v>
                </c:pt>
                <c:pt idx="10">
                  <c:v>0</c:v>
                </c:pt>
                <c:pt idx="15">
                  <c:v>0</c:v>
                </c:pt>
                <c:pt idx="20">
                  <c:v>0</c:v>
                </c:pt>
                <c:pt idx="25">
                  <c:v>0</c:v>
                </c:pt>
                <c:pt idx="30">
                  <c:v>0</c:v>
                </c:pt>
                <c:pt idx="35">
                  <c:v>0</c:v>
                </c:pt>
              </c:numCache>
            </c:numRef>
          </c:yVal>
        </c:ser>
        <c:axId val="50050001"/>
        <c:axId val="50050002"/>
      </c:scatterChart>
      <c:valAx>
        <c:axId val="50050001"/>
        <c:scaling>
          <c:orientation val="minMax"/>
        </c:scaling>
        <c:axPos val="b"/>
        <c:title>
          <c:tx>
            <c:rich>
              <a:bodyPr/>
              <a:lstStyle/>
              <a:p>
                <a:pPr>
                  <a:defRPr/>
                </a:pPr>
                <a:r>
                  <a:rPr lang="en-US"/>
                  <a:t>Avg Memory (MB)</a:t>
                </a:r>
              </a:p>
            </c:rich>
          </c:tx>
          <c:layout/>
        </c:title>
        <c:numFmt formatCode="General" sourceLinked="1"/>
        <c:tickLblPos val="nextTo"/>
        <c:crossAx val="50050002"/>
        <c:crosses val="autoZero"/>
        <c:crossBetween val="midCat"/>
      </c:valAx>
      <c:valAx>
        <c:axId val="50050002"/>
        <c:scaling>
          <c:orientation val="minMax"/>
        </c:scaling>
        <c:axPos val="l"/>
        <c:majorGridlines/>
        <c:title>
          <c:tx>
            <c:rich>
              <a:bodyPr rot="-5400000" vert="horz"/>
              <a:lstStyle/>
              <a:p>
                <a:pPr>
                  <a:defRPr/>
                </a:pPr>
                <a:r>
                  <a:rPr lang="en-US"/>
                  <a:t>Avg Accuracy</a:t>
                </a:r>
              </a:p>
            </c:rich>
          </c:tx>
          <c:layout/>
        </c:title>
        <c:numFmt formatCode="General" sourceLinked="1"/>
        <c:tickLblPos val="nextTo"/>
        <c:crossAx val="50050001"/>
        <c:crosses val="autoZero"/>
        <c:crossBetween val="midCat"/>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10</xdr:col>
      <xdr:colOff>0</xdr:colOff>
      <xdr:row>19</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19</xdr:row>
      <xdr:rowOff>0</xdr:rowOff>
    </xdr:from>
    <xdr:to>
      <xdr:col>10</xdr:col>
      <xdr:colOff>0</xdr:colOff>
      <xdr:row>36</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36</xdr:row>
      <xdr:rowOff>0</xdr:rowOff>
    </xdr:from>
    <xdr:to>
      <xdr:col>10</xdr:col>
      <xdr:colOff>0</xdr:colOff>
      <xdr:row>53</xdr:row>
      <xdr:rowOff>57150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xdr:row>
      <xdr:rowOff>0</xdr:rowOff>
    </xdr:from>
    <xdr:to>
      <xdr:col>19</xdr:col>
      <xdr:colOff>0</xdr:colOff>
      <xdr:row>19</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19</xdr:row>
      <xdr:rowOff>0</xdr:rowOff>
    </xdr:from>
    <xdr:to>
      <xdr:col>19</xdr:col>
      <xdr:colOff>0</xdr:colOff>
      <xdr:row>36</xdr:row>
      <xdr:rowOff>57150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N181"/>
  <sheetViews>
    <sheetView tabSelected="1" workbookViewId="0"/>
  </sheetViews>
  <sheetFormatPr defaultRowHeight="15"/>
  <cols>
    <col min="1" max="1" width="6.7109375" customWidth="1"/>
    <col min="2" max="2" width="18.7109375" customWidth="1"/>
    <col min="3" max="5" width="10.7109375" customWidth="1"/>
    <col min="6" max="6" width="60.7109375" customWidth="1"/>
    <col min="7" max="7" width="25.7109375" customWidth="1"/>
    <col min="8" max="9" width="12.7109375" customWidth="1"/>
    <col min="10" max="11" width="14.7109375" customWidth="1"/>
    <col min="12" max="12" width="25.7109375" customWidth="1"/>
    <col min="13" max="14" width="15.710937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v>1</v>
      </c>
      <c r="B2" t="s">
        <v>14</v>
      </c>
      <c r="C2">
        <v>0</v>
      </c>
      <c r="D2">
        <v>0.1</v>
      </c>
      <c r="E2">
        <v>10</v>
      </c>
      <c r="F2" t="s">
        <v>15</v>
      </c>
      <c r="G2" t="s">
        <v>16</v>
      </c>
      <c r="H2">
        <v>5</v>
      </c>
      <c r="I2">
        <v>0</v>
      </c>
      <c r="J2">
        <v>0.14</v>
      </c>
      <c r="K2">
        <v>2.02</v>
      </c>
      <c r="L2" t="s">
        <v>17</v>
      </c>
      <c r="M2">
        <f>H2+I2</f>
        <v>0</v>
      </c>
      <c r="N2">
        <f>IF(M2&gt;0,H2/M2,"")</f>
        <v>0</v>
      </c>
    </row>
    <row r="3" spans="1:14">
      <c r="A3">
        <v>2</v>
      </c>
      <c r="B3" t="s">
        <v>14</v>
      </c>
      <c r="C3">
        <v>0</v>
      </c>
      <c r="D3">
        <v>0.1</v>
      </c>
      <c r="E3">
        <v>10</v>
      </c>
      <c r="F3" t="s">
        <v>18</v>
      </c>
      <c r="G3" t="s">
        <v>19</v>
      </c>
      <c r="H3">
        <v>8</v>
      </c>
      <c r="I3">
        <v>0</v>
      </c>
      <c r="J3">
        <v>0.11</v>
      </c>
      <c r="K3">
        <v>2.01</v>
      </c>
      <c r="L3" t="s">
        <v>20</v>
      </c>
      <c r="M3">
        <f>H3+I3</f>
        <v>0</v>
      </c>
      <c r="N3">
        <f>IF(M3&gt;0,H3/M3,"")</f>
        <v>0</v>
      </c>
    </row>
    <row r="4" spans="1:14">
      <c r="A4">
        <v>3</v>
      </c>
      <c r="B4" t="s">
        <v>14</v>
      </c>
      <c r="C4">
        <v>0</v>
      </c>
      <c r="D4">
        <v>0.1</v>
      </c>
      <c r="E4">
        <v>10</v>
      </c>
      <c r="F4" t="s">
        <v>21</v>
      </c>
      <c r="G4" t="s">
        <v>22</v>
      </c>
      <c r="H4">
        <v>8</v>
      </c>
      <c r="I4">
        <v>1</v>
      </c>
      <c r="J4">
        <v>0.11</v>
      </c>
      <c r="K4">
        <v>2.01</v>
      </c>
      <c r="L4" t="s">
        <v>23</v>
      </c>
      <c r="M4">
        <f>H4+I4</f>
        <v>0</v>
      </c>
      <c r="N4">
        <f>IF(M4&gt;0,H4/M4,"")</f>
        <v>0</v>
      </c>
    </row>
    <row r="5" spans="1:14">
      <c r="A5">
        <v>4</v>
      </c>
      <c r="B5" t="s">
        <v>14</v>
      </c>
      <c r="C5">
        <v>0</v>
      </c>
      <c r="D5">
        <v>0.1</v>
      </c>
      <c r="E5">
        <v>10</v>
      </c>
      <c r="F5" t="s">
        <v>24</v>
      </c>
      <c r="G5" t="s">
        <v>25</v>
      </c>
      <c r="H5">
        <v>14</v>
      </c>
      <c r="I5">
        <v>0</v>
      </c>
      <c r="J5">
        <v>0.11</v>
      </c>
      <c r="K5">
        <v>2.05</v>
      </c>
      <c r="L5" t="s">
        <v>26</v>
      </c>
      <c r="M5">
        <f>H5+I5</f>
        <v>0</v>
      </c>
      <c r="N5">
        <f>IF(M5&gt;0,H5/M5,"")</f>
        <v>0</v>
      </c>
    </row>
    <row r="6" spans="1:14">
      <c r="A6">
        <v>5</v>
      </c>
      <c r="B6" t="s">
        <v>14</v>
      </c>
      <c r="C6">
        <v>0</v>
      </c>
      <c r="D6">
        <v>0.1</v>
      </c>
      <c r="E6">
        <v>10</v>
      </c>
      <c r="F6" t="s">
        <v>27</v>
      </c>
      <c r="G6" t="s">
        <v>28</v>
      </c>
      <c r="H6">
        <v>6</v>
      </c>
      <c r="I6">
        <v>0</v>
      </c>
      <c r="J6">
        <v>0.11</v>
      </c>
      <c r="K6">
        <v>2</v>
      </c>
      <c r="L6" t="s">
        <v>29</v>
      </c>
      <c r="M6">
        <f>H6+I6</f>
        <v>0</v>
      </c>
      <c r="N6">
        <f>IF(M6&gt;0,H6/M6,"")</f>
        <v>0</v>
      </c>
    </row>
    <row r="7" spans="1:14">
      <c r="A7">
        <v>1</v>
      </c>
      <c r="B7" t="s">
        <v>14</v>
      </c>
      <c r="C7">
        <v>0</v>
      </c>
      <c r="D7">
        <v>0.5</v>
      </c>
      <c r="E7">
        <v>30</v>
      </c>
      <c r="F7" t="s">
        <v>15</v>
      </c>
      <c r="G7" t="s">
        <v>16</v>
      </c>
      <c r="H7">
        <v>5</v>
      </c>
      <c r="I7">
        <v>0</v>
      </c>
      <c r="J7">
        <v>0.11</v>
      </c>
      <c r="K7">
        <v>2.01</v>
      </c>
      <c r="L7" t="s">
        <v>17</v>
      </c>
      <c r="M7">
        <f>H7+I7</f>
        <v>0</v>
      </c>
      <c r="N7">
        <f>IF(M7&gt;0,H7/M7,"")</f>
        <v>0</v>
      </c>
    </row>
    <row r="8" spans="1:14">
      <c r="A8">
        <v>2</v>
      </c>
      <c r="B8" t="s">
        <v>14</v>
      </c>
      <c r="C8">
        <v>0</v>
      </c>
      <c r="D8">
        <v>0.5</v>
      </c>
      <c r="E8">
        <v>30</v>
      </c>
      <c r="F8" t="s">
        <v>18</v>
      </c>
      <c r="G8" t="s">
        <v>19</v>
      </c>
      <c r="H8">
        <v>8</v>
      </c>
      <c r="I8">
        <v>0</v>
      </c>
      <c r="J8">
        <v>0.11</v>
      </c>
      <c r="K8">
        <v>2.01</v>
      </c>
      <c r="L8" t="s">
        <v>20</v>
      </c>
      <c r="M8">
        <f>H8+I8</f>
        <v>0</v>
      </c>
      <c r="N8">
        <f>IF(M8&gt;0,H8/M8,"")</f>
        <v>0</v>
      </c>
    </row>
    <row r="9" spans="1:14">
      <c r="A9">
        <v>3</v>
      </c>
      <c r="B9" t="s">
        <v>14</v>
      </c>
      <c r="C9">
        <v>0</v>
      </c>
      <c r="D9">
        <v>0.5</v>
      </c>
      <c r="E9">
        <v>30</v>
      </c>
      <c r="F9" t="s">
        <v>21</v>
      </c>
      <c r="G9" t="s">
        <v>22</v>
      </c>
      <c r="H9">
        <v>8</v>
      </c>
      <c r="I9">
        <v>1</v>
      </c>
      <c r="J9">
        <v>0.11</v>
      </c>
      <c r="K9">
        <v>2.01</v>
      </c>
      <c r="L9" t="s">
        <v>23</v>
      </c>
      <c r="M9">
        <f>H9+I9</f>
        <v>0</v>
      </c>
      <c r="N9">
        <f>IF(M9&gt;0,H9/M9,"")</f>
        <v>0</v>
      </c>
    </row>
    <row r="10" spans="1:14">
      <c r="A10">
        <v>4</v>
      </c>
      <c r="B10" t="s">
        <v>14</v>
      </c>
      <c r="C10">
        <v>0</v>
      </c>
      <c r="D10">
        <v>0.5</v>
      </c>
      <c r="E10">
        <v>30</v>
      </c>
      <c r="F10" t="s">
        <v>24</v>
      </c>
      <c r="G10" t="s">
        <v>25</v>
      </c>
      <c r="H10">
        <v>14</v>
      </c>
      <c r="I10">
        <v>0</v>
      </c>
      <c r="J10">
        <v>0.11</v>
      </c>
      <c r="K10">
        <v>2.04</v>
      </c>
      <c r="L10" t="s">
        <v>26</v>
      </c>
      <c r="M10">
        <f>H10+I10</f>
        <v>0</v>
      </c>
      <c r="N10">
        <f>IF(M10&gt;0,H10/M10,"")</f>
        <v>0</v>
      </c>
    </row>
    <row r="11" spans="1:14">
      <c r="A11">
        <v>5</v>
      </c>
      <c r="B11" t="s">
        <v>14</v>
      </c>
      <c r="C11">
        <v>0</v>
      </c>
      <c r="D11">
        <v>0.5</v>
      </c>
      <c r="E11">
        <v>30</v>
      </c>
      <c r="F11" t="s">
        <v>27</v>
      </c>
      <c r="G11" t="s">
        <v>28</v>
      </c>
      <c r="H11">
        <v>6</v>
      </c>
      <c r="I11">
        <v>0</v>
      </c>
      <c r="J11">
        <v>0.11</v>
      </c>
      <c r="K11">
        <v>2.05</v>
      </c>
      <c r="L11" t="s">
        <v>29</v>
      </c>
      <c r="M11">
        <f>H11+I11</f>
        <v>0</v>
      </c>
      <c r="N11">
        <f>IF(M11&gt;0,H11/M11,"")</f>
        <v>0</v>
      </c>
    </row>
    <row r="12" spans="1:14">
      <c r="A12">
        <v>1</v>
      </c>
      <c r="B12" t="s">
        <v>14</v>
      </c>
      <c r="C12">
        <v>0</v>
      </c>
      <c r="D12">
        <v>0.95</v>
      </c>
      <c r="E12">
        <v>100</v>
      </c>
      <c r="F12" t="s">
        <v>15</v>
      </c>
      <c r="G12" t="s">
        <v>16</v>
      </c>
      <c r="H12">
        <v>5</v>
      </c>
      <c r="I12">
        <v>0</v>
      </c>
      <c r="J12">
        <v>0.11</v>
      </c>
      <c r="K12">
        <v>2.01</v>
      </c>
      <c r="L12" t="s">
        <v>17</v>
      </c>
      <c r="M12">
        <f>H12+I12</f>
        <v>0</v>
      </c>
      <c r="N12">
        <f>IF(M12&gt;0,H12/M12,"")</f>
        <v>0</v>
      </c>
    </row>
    <row r="13" spans="1:14">
      <c r="A13">
        <v>2</v>
      </c>
      <c r="B13" t="s">
        <v>14</v>
      </c>
      <c r="C13">
        <v>0</v>
      </c>
      <c r="D13">
        <v>0.95</v>
      </c>
      <c r="E13">
        <v>100</v>
      </c>
      <c r="F13" t="s">
        <v>30</v>
      </c>
      <c r="G13" t="s">
        <v>19</v>
      </c>
      <c r="H13">
        <v>8</v>
      </c>
      <c r="I13">
        <v>0</v>
      </c>
      <c r="J13">
        <v>0.11</v>
      </c>
      <c r="K13">
        <v>2.01</v>
      </c>
      <c r="L13" t="s">
        <v>20</v>
      </c>
      <c r="M13">
        <f>H13+I13</f>
        <v>0</v>
      </c>
      <c r="N13">
        <f>IF(M13&gt;0,H13/M13,"")</f>
        <v>0</v>
      </c>
    </row>
    <row r="14" spans="1:14">
      <c r="A14">
        <v>3</v>
      </c>
      <c r="B14" t="s">
        <v>14</v>
      </c>
      <c r="C14">
        <v>0</v>
      </c>
      <c r="D14">
        <v>0.95</v>
      </c>
      <c r="E14">
        <v>100</v>
      </c>
      <c r="F14" t="s">
        <v>31</v>
      </c>
      <c r="G14" t="s">
        <v>22</v>
      </c>
      <c r="H14">
        <v>8</v>
      </c>
      <c r="I14">
        <v>1</v>
      </c>
      <c r="J14">
        <v>0.11</v>
      </c>
      <c r="K14">
        <v>2.03</v>
      </c>
      <c r="L14" t="s">
        <v>23</v>
      </c>
      <c r="M14">
        <f>H14+I14</f>
        <v>0</v>
      </c>
      <c r="N14">
        <f>IF(M14&gt;0,H14/M14,"")</f>
        <v>0</v>
      </c>
    </row>
    <row r="15" spans="1:14">
      <c r="A15">
        <v>4</v>
      </c>
      <c r="B15" t="s">
        <v>14</v>
      </c>
      <c r="C15">
        <v>0</v>
      </c>
      <c r="D15">
        <v>0.95</v>
      </c>
      <c r="E15">
        <v>100</v>
      </c>
      <c r="F15" t="s">
        <v>32</v>
      </c>
      <c r="G15" t="s">
        <v>25</v>
      </c>
      <c r="H15">
        <v>14</v>
      </c>
      <c r="I15">
        <v>0</v>
      </c>
      <c r="J15">
        <v>0.11</v>
      </c>
      <c r="K15">
        <v>2.03</v>
      </c>
      <c r="L15" t="s">
        <v>33</v>
      </c>
      <c r="M15">
        <f>H15+I15</f>
        <v>0</v>
      </c>
      <c r="N15">
        <f>IF(M15&gt;0,H15/M15,"")</f>
        <v>0</v>
      </c>
    </row>
    <row r="16" spans="1:14">
      <c r="A16">
        <v>5</v>
      </c>
      <c r="B16" t="s">
        <v>14</v>
      </c>
      <c r="C16">
        <v>0</v>
      </c>
      <c r="D16">
        <v>0.95</v>
      </c>
      <c r="E16">
        <v>100</v>
      </c>
      <c r="F16" t="s">
        <v>34</v>
      </c>
      <c r="G16" t="s">
        <v>28</v>
      </c>
      <c r="H16">
        <v>6</v>
      </c>
      <c r="I16">
        <v>0</v>
      </c>
      <c r="J16">
        <v>0.11</v>
      </c>
      <c r="K16">
        <v>2.06</v>
      </c>
      <c r="L16" t="s">
        <v>29</v>
      </c>
      <c r="M16">
        <f>H16+I16</f>
        <v>0</v>
      </c>
      <c r="N16">
        <f>IF(M16&gt;0,H16/M16,"")</f>
        <v>0</v>
      </c>
    </row>
    <row r="17" spans="1:14">
      <c r="A17">
        <v>1</v>
      </c>
      <c r="B17" t="s">
        <v>14</v>
      </c>
      <c r="C17">
        <v>0.5</v>
      </c>
      <c r="D17">
        <v>0.1</v>
      </c>
      <c r="E17">
        <v>10</v>
      </c>
      <c r="F17" t="s">
        <v>15</v>
      </c>
      <c r="G17" t="s">
        <v>16</v>
      </c>
      <c r="H17">
        <v>5</v>
      </c>
      <c r="I17">
        <v>0</v>
      </c>
      <c r="J17">
        <v>0.11</v>
      </c>
      <c r="K17">
        <v>2.03</v>
      </c>
      <c r="L17" t="s">
        <v>17</v>
      </c>
      <c r="M17">
        <f>H17+I17</f>
        <v>0</v>
      </c>
      <c r="N17">
        <f>IF(M17&gt;0,H17/M17,"")</f>
        <v>0</v>
      </c>
    </row>
    <row r="18" spans="1:14">
      <c r="A18">
        <v>2</v>
      </c>
      <c r="B18" t="s">
        <v>14</v>
      </c>
      <c r="C18">
        <v>0.5</v>
      </c>
      <c r="D18">
        <v>0.1</v>
      </c>
      <c r="E18">
        <v>10</v>
      </c>
      <c r="F18" t="s">
        <v>18</v>
      </c>
      <c r="G18" t="s">
        <v>19</v>
      </c>
      <c r="H18">
        <v>8</v>
      </c>
      <c r="I18">
        <v>0</v>
      </c>
      <c r="J18">
        <v>0.11</v>
      </c>
      <c r="K18">
        <v>2.03</v>
      </c>
      <c r="L18" t="s">
        <v>20</v>
      </c>
      <c r="M18">
        <f>H18+I18</f>
        <v>0</v>
      </c>
      <c r="N18">
        <f>IF(M18&gt;0,H18/M18,"")</f>
        <v>0</v>
      </c>
    </row>
    <row r="19" spans="1:14">
      <c r="A19">
        <v>3</v>
      </c>
      <c r="B19" t="s">
        <v>14</v>
      </c>
      <c r="C19">
        <v>0.5</v>
      </c>
      <c r="D19">
        <v>0.1</v>
      </c>
      <c r="E19">
        <v>10</v>
      </c>
      <c r="F19" t="s">
        <v>21</v>
      </c>
      <c r="G19" t="s">
        <v>22</v>
      </c>
      <c r="H19">
        <v>8</v>
      </c>
      <c r="I19">
        <v>1</v>
      </c>
      <c r="J19">
        <v>0.11</v>
      </c>
      <c r="K19">
        <v>2.01</v>
      </c>
      <c r="L19" t="s">
        <v>23</v>
      </c>
      <c r="M19">
        <f>H19+I19</f>
        <v>0</v>
      </c>
      <c r="N19">
        <f>IF(M19&gt;0,H19/M19,"")</f>
        <v>0</v>
      </c>
    </row>
    <row r="20" spans="1:14">
      <c r="A20">
        <v>4</v>
      </c>
      <c r="B20" t="s">
        <v>14</v>
      </c>
      <c r="C20">
        <v>0.5</v>
      </c>
      <c r="D20">
        <v>0.1</v>
      </c>
      <c r="E20">
        <v>10</v>
      </c>
      <c r="F20" t="s">
        <v>35</v>
      </c>
      <c r="G20" t="s">
        <v>36</v>
      </c>
      <c r="H20">
        <v>14</v>
      </c>
      <c r="I20">
        <v>1</v>
      </c>
      <c r="J20">
        <v>0.11</v>
      </c>
      <c r="K20">
        <v>2</v>
      </c>
      <c r="L20" t="s">
        <v>33</v>
      </c>
      <c r="M20">
        <f>H20+I20</f>
        <v>0</v>
      </c>
      <c r="N20">
        <f>IF(M20&gt;0,H20/M20,"")</f>
        <v>0</v>
      </c>
    </row>
    <row r="21" spans="1:14">
      <c r="A21">
        <v>5</v>
      </c>
      <c r="B21" t="s">
        <v>14</v>
      </c>
      <c r="C21">
        <v>0.5</v>
      </c>
      <c r="D21">
        <v>0.1</v>
      </c>
      <c r="E21">
        <v>10</v>
      </c>
      <c r="F21" t="s">
        <v>37</v>
      </c>
      <c r="G21" t="s">
        <v>28</v>
      </c>
      <c r="H21">
        <v>6</v>
      </c>
      <c r="I21">
        <v>0</v>
      </c>
      <c r="J21">
        <v>0.11</v>
      </c>
      <c r="K21">
        <v>2.04</v>
      </c>
      <c r="L21" t="s">
        <v>38</v>
      </c>
      <c r="M21">
        <f>H21+I21</f>
        <v>0</v>
      </c>
      <c r="N21">
        <f>IF(M21&gt;0,H21/M21,"")</f>
        <v>0</v>
      </c>
    </row>
    <row r="22" spans="1:14">
      <c r="A22">
        <v>1</v>
      </c>
      <c r="B22" t="s">
        <v>14</v>
      </c>
      <c r="C22">
        <v>0.5</v>
      </c>
      <c r="D22">
        <v>0.5</v>
      </c>
      <c r="E22">
        <v>30</v>
      </c>
      <c r="F22" t="s">
        <v>39</v>
      </c>
      <c r="G22" t="s">
        <v>40</v>
      </c>
      <c r="H22">
        <v>4</v>
      </c>
      <c r="I22">
        <v>0</v>
      </c>
      <c r="J22">
        <v>0.11</v>
      </c>
      <c r="K22">
        <v>2.01</v>
      </c>
      <c r="L22" t="s">
        <v>41</v>
      </c>
      <c r="M22">
        <f>H22+I22</f>
        <v>0</v>
      </c>
      <c r="N22">
        <f>IF(M22&gt;0,H22/M22,"")</f>
        <v>0</v>
      </c>
    </row>
    <row r="23" spans="1:14">
      <c r="A23">
        <v>2</v>
      </c>
      <c r="B23" t="s">
        <v>14</v>
      </c>
      <c r="C23">
        <v>0.5</v>
      </c>
      <c r="D23">
        <v>0.5</v>
      </c>
      <c r="E23">
        <v>30</v>
      </c>
      <c r="F23" t="s">
        <v>42</v>
      </c>
      <c r="G23" t="s">
        <v>43</v>
      </c>
      <c r="H23">
        <v>8</v>
      </c>
      <c r="I23">
        <v>0</v>
      </c>
      <c r="J23">
        <v>0.11</v>
      </c>
      <c r="K23">
        <v>2.02</v>
      </c>
      <c r="L23" t="s">
        <v>44</v>
      </c>
      <c r="M23">
        <f>H23+I23</f>
        <v>0</v>
      </c>
      <c r="N23">
        <f>IF(M23&gt;0,H23/M23,"")</f>
        <v>0</v>
      </c>
    </row>
    <row r="24" spans="1:14">
      <c r="A24">
        <v>3</v>
      </c>
      <c r="B24" t="s">
        <v>14</v>
      </c>
      <c r="C24">
        <v>0.5</v>
      </c>
      <c r="D24">
        <v>0.5</v>
      </c>
      <c r="E24">
        <v>30</v>
      </c>
      <c r="F24" t="s">
        <v>45</v>
      </c>
      <c r="G24" t="s">
        <v>46</v>
      </c>
      <c r="H24">
        <v>8</v>
      </c>
      <c r="I24">
        <v>1</v>
      </c>
      <c r="J24">
        <v>0.11</v>
      </c>
      <c r="K24">
        <v>2.04</v>
      </c>
      <c r="L24" t="s">
        <v>47</v>
      </c>
      <c r="M24">
        <f>H24+I24</f>
        <v>0</v>
      </c>
      <c r="N24">
        <f>IF(M24&gt;0,H24/M24,"")</f>
        <v>0</v>
      </c>
    </row>
    <row r="25" spans="1:14">
      <c r="A25">
        <v>4</v>
      </c>
      <c r="B25" t="s">
        <v>14</v>
      </c>
      <c r="C25">
        <v>0.5</v>
      </c>
      <c r="D25">
        <v>0.5</v>
      </c>
      <c r="E25">
        <v>30</v>
      </c>
      <c r="F25" t="s">
        <v>48</v>
      </c>
      <c r="G25" t="s">
        <v>49</v>
      </c>
      <c r="H25">
        <v>11</v>
      </c>
      <c r="I25">
        <v>2</v>
      </c>
      <c r="J25">
        <v>0.11</v>
      </c>
      <c r="K25">
        <v>2.01</v>
      </c>
      <c r="L25" t="s">
        <v>23</v>
      </c>
      <c r="M25">
        <f>H25+I25</f>
        <v>0</v>
      </c>
      <c r="N25">
        <f>IF(M25&gt;0,H25/M25,"")</f>
        <v>0</v>
      </c>
    </row>
    <row r="26" spans="1:14">
      <c r="A26">
        <v>5</v>
      </c>
      <c r="B26" t="s">
        <v>14</v>
      </c>
      <c r="C26">
        <v>0.5</v>
      </c>
      <c r="D26">
        <v>0.5</v>
      </c>
      <c r="E26">
        <v>30</v>
      </c>
      <c r="F26" t="s">
        <v>50</v>
      </c>
      <c r="G26" t="s">
        <v>43</v>
      </c>
      <c r="H26">
        <v>8</v>
      </c>
      <c r="I26">
        <v>0</v>
      </c>
      <c r="J26">
        <v>0.11</v>
      </c>
      <c r="K26">
        <v>2.01</v>
      </c>
      <c r="L26" t="s">
        <v>51</v>
      </c>
      <c r="M26">
        <f>H26+I26</f>
        <v>0</v>
      </c>
      <c r="N26">
        <f>IF(M26&gt;0,H26/M26,"")</f>
        <v>0</v>
      </c>
    </row>
    <row r="27" spans="1:14">
      <c r="A27">
        <v>1</v>
      </c>
      <c r="B27" t="s">
        <v>14</v>
      </c>
      <c r="C27">
        <v>0.5</v>
      </c>
      <c r="D27">
        <v>0.95</v>
      </c>
      <c r="E27">
        <v>100</v>
      </c>
      <c r="F27" t="s">
        <v>52</v>
      </c>
      <c r="G27" t="s">
        <v>53</v>
      </c>
      <c r="H27">
        <v>5</v>
      </c>
      <c r="I27">
        <v>0</v>
      </c>
      <c r="J27">
        <v>0.11</v>
      </c>
      <c r="K27">
        <v>2.02</v>
      </c>
      <c r="L27" t="s">
        <v>41</v>
      </c>
      <c r="M27">
        <f>H27+I27</f>
        <v>0</v>
      </c>
      <c r="N27">
        <f>IF(M27&gt;0,H27/M27,"")</f>
        <v>0</v>
      </c>
    </row>
    <row r="28" spans="1:14">
      <c r="A28">
        <v>2</v>
      </c>
      <c r="B28" t="s">
        <v>14</v>
      </c>
      <c r="C28">
        <v>0.5</v>
      </c>
      <c r="D28">
        <v>0.95</v>
      </c>
      <c r="E28">
        <v>100</v>
      </c>
      <c r="F28" t="s">
        <v>54</v>
      </c>
      <c r="G28" t="s">
        <v>55</v>
      </c>
      <c r="H28">
        <v>8</v>
      </c>
      <c r="I28">
        <v>1</v>
      </c>
      <c r="J28">
        <v>0.11</v>
      </c>
      <c r="K28">
        <v>2.02</v>
      </c>
      <c r="L28" t="s">
        <v>44</v>
      </c>
      <c r="M28">
        <f>H28+I28</f>
        <v>0</v>
      </c>
      <c r="N28">
        <f>IF(M28&gt;0,H28/M28,"")</f>
        <v>0</v>
      </c>
    </row>
    <row r="29" spans="1:14">
      <c r="A29">
        <v>3</v>
      </c>
      <c r="B29" t="s">
        <v>14</v>
      </c>
      <c r="C29">
        <v>0.5</v>
      </c>
      <c r="D29">
        <v>0.95</v>
      </c>
      <c r="E29">
        <v>100</v>
      </c>
      <c r="F29" t="s">
        <v>56</v>
      </c>
      <c r="G29" t="s">
        <v>55</v>
      </c>
      <c r="H29">
        <v>8</v>
      </c>
      <c r="I29">
        <v>1</v>
      </c>
      <c r="J29">
        <v>0.11</v>
      </c>
      <c r="K29">
        <v>2.03</v>
      </c>
      <c r="L29" t="s">
        <v>47</v>
      </c>
      <c r="M29">
        <f>H29+I29</f>
        <v>0</v>
      </c>
      <c r="N29">
        <f>IF(M29&gt;0,H29/M29,"")</f>
        <v>0</v>
      </c>
    </row>
    <row r="30" spans="1:14">
      <c r="A30">
        <v>4</v>
      </c>
      <c r="B30" t="s">
        <v>14</v>
      </c>
      <c r="C30">
        <v>0.5</v>
      </c>
      <c r="D30">
        <v>0.95</v>
      </c>
      <c r="E30">
        <v>100</v>
      </c>
      <c r="F30" t="s">
        <v>57</v>
      </c>
      <c r="G30" t="s">
        <v>58</v>
      </c>
      <c r="H30">
        <v>16</v>
      </c>
      <c r="I30">
        <v>2</v>
      </c>
      <c r="J30">
        <v>0.11</v>
      </c>
      <c r="K30">
        <v>2.03</v>
      </c>
      <c r="L30" t="s">
        <v>59</v>
      </c>
      <c r="M30">
        <f>H30+I30</f>
        <v>0</v>
      </c>
      <c r="N30">
        <f>IF(M30&gt;0,H30/M30,"")</f>
        <v>0</v>
      </c>
    </row>
    <row r="31" spans="1:14">
      <c r="A31">
        <v>5</v>
      </c>
      <c r="B31" t="s">
        <v>14</v>
      </c>
      <c r="C31">
        <v>0.5</v>
      </c>
      <c r="D31">
        <v>0.95</v>
      </c>
      <c r="E31">
        <v>100</v>
      </c>
      <c r="F31" t="s">
        <v>60</v>
      </c>
      <c r="G31" t="s">
        <v>61</v>
      </c>
      <c r="H31">
        <v>7</v>
      </c>
      <c r="I31">
        <v>0</v>
      </c>
      <c r="J31">
        <v>0.11</v>
      </c>
      <c r="K31">
        <v>2.02</v>
      </c>
      <c r="L31" t="s">
        <v>51</v>
      </c>
      <c r="M31">
        <f>H31+I31</f>
        <v>0</v>
      </c>
      <c r="N31">
        <f>IF(M31&gt;0,H31/M31,"")</f>
        <v>0</v>
      </c>
    </row>
    <row r="32" spans="1:14">
      <c r="A32">
        <v>1</v>
      </c>
      <c r="B32" t="s">
        <v>14</v>
      </c>
      <c r="C32">
        <v>1</v>
      </c>
      <c r="D32">
        <v>0.1</v>
      </c>
      <c r="E32">
        <v>10</v>
      </c>
      <c r="F32" t="s">
        <v>62</v>
      </c>
      <c r="G32" t="s">
        <v>16</v>
      </c>
      <c r="H32">
        <v>5</v>
      </c>
      <c r="I32">
        <v>0</v>
      </c>
      <c r="J32">
        <v>0.11</v>
      </c>
      <c r="K32">
        <v>2.03</v>
      </c>
      <c r="L32" t="s">
        <v>17</v>
      </c>
      <c r="M32">
        <f>H32+I32</f>
        <v>0</v>
      </c>
      <c r="N32">
        <f>IF(M32&gt;0,H32/M32,"")</f>
        <v>0</v>
      </c>
    </row>
    <row r="33" spans="1:14">
      <c r="A33">
        <v>2</v>
      </c>
      <c r="B33" t="s">
        <v>14</v>
      </c>
      <c r="C33">
        <v>1</v>
      </c>
      <c r="D33">
        <v>0.1</v>
      </c>
      <c r="E33">
        <v>10</v>
      </c>
      <c r="F33" t="s">
        <v>63</v>
      </c>
      <c r="G33" t="s">
        <v>64</v>
      </c>
      <c r="H33">
        <v>7</v>
      </c>
      <c r="I33">
        <v>1</v>
      </c>
      <c r="J33">
        <v>0.11</v>
      </c>
      <c r="K33">
        <v>2.02</v>
      </c>
      <c r="L33" t="s">
        <v>20</v>
      </c>
      <c r="M33">
        <f>H33+I33</f>
        <v>0</v>
      </c>
      <c r="N33">
        <f>IF(M33&gt;0,H33/M33,"")</f>
        <v>0</v>
      </c>
    </row>
    <row r="34" spans="1:14">
      <c r="A34">
        <v>3</v>
      </c>
      <c r="B34" t="s">
        <v>14</v>
      </c>
      <c r="C34">
        <v>1</v>
      </c>
      <c r="D34">
        <v>0.1</v>
      </c>
      <c r="E34">
        <v>10</v>
      </c>
      <c r="F34" t="s">
        <v>65</v>
      </c>
      <c r="G34" t="s">
        <v>66</v>
      </c>
      <c r="H34">
        <v>9</v>
      </c>
      <c r="I34">
        <v>0</v>
      </c>
      <c r="J34">
        <v>0.11</v>
      </c>
      <c r="K34">
        <v>2.01</v>
      </c>
      <c r="L34" t="s">
        <v>23</v>
      </c>
      <c r="M34">
        <f>H34+I34</f>
        <v>0</v>
      </c>
      <c r="N34">
        <f>IF(M34&gt;0,H34/M34,"")</f>
        <v>0</v>
      </c>
    </row>
    <row r="35" spans="1:14">
      <c r="A35">
        <v>4</v>
      </c>
      <c r="B35" t="s">
        <v>14</v>
      </c>
      <c r="C35">
        <v>1</v>
      </c>
      <c r="D35">
        <v>0.1</v>
      </c>
      <c r="E35">
        <v>10</v>
      </c>
      <c r="F35" t="s">
        <v>67</v>
      </c>
      <c r="G35" t="s">
        <v>68</v>
      </c>
      <c r="H35">
        <v>16</v>
      </c>
      <c r="I35">
        <v>0</v>
      </c>
      <c r="J35">
        <v>0.11</v>
      </c>
      <c r="K35">
        <v>2.04</v>
      </c>
      <c r="L35" t="s">
        <v>33</v>
      </c>
      <c r="M35">
        <f>H35+I35</f>
        <v>0</v>
      </c>
      <c r="N35">
        <f>IF(M35&gt;0,H35/M35,"")</f>
        <v>0</v>
      </c>
    </row>
    <row r="36" spans="1:14">
      <c r="A36">
        <v>5</v>
      </c>
      <c r="B36" t="s">
        <v>14</v>
      </c>
      <c r="C36">
        <v>1</v>
      </c>
      <c r="D36">
        <v>0.1</v>
      </c>
      <c r="E36">
        <v>10</v>
      </c>
      <c r="F36" t="s">
        <v>69</v>
      </c>
      <c r="G36" t="s">
        <v>16</v>
      </c>
      <c r="H36">
        <v>5</v>
      </c>
      <c r="I36">
        <v>0</v>
      </c>
      <c r="J36">
        <v>0.11</v>
      </c>
      <c r="K36">
        <v>2.03</v>
      </c>
      <c r="L36" t="s">
        <v>29</v>
      </c>
      <c r="M36">
        <f>H36+I36</f>
        <v>0</v>
      </c>
      <c r="N36">
        <f>IF(M36&gt;0,H36/M36,"")</f>
        <v>0</v>
      </c>
    </row>
    <row r="37" spans="1:14">
      <c r="A37">
        <v>1</v>
      </c>
      <c r="B37" t="s">
        <v>14</v>
      </c>
      <c r="C37">
        <v>1</v>
      </c>
      <c r="D37">
        <v>0.5</v>
      </c>
      <c r="E37">
        <v>30</v>
      </c>
      <c r="F37" t="s">
        <v>15</v>
      </c>
      <c r="G37" t="s">
        <v>16</v>
      </c>
      <c r="H37">
        <v>5</v>
      </c>
      <c r="I37">
        <v>0</v>
      </c>
      <c r="J37">
        <v>0.11</v>
      </c>
      <c r="K37">
        <v>2.03</v>
      </c>
      <c r="L37" t="s">
        <v>17</v>
      </c>
      <c r="M37">
        <f>H37+I37</f>
        <v>0</v>
      </c>
      <c r="N37">
        <f>IF(M37&gt;0,H37/M37,"")</f>
        <v>0</v>
      </c>
    </row>
    <row r="38" spans="1:14">
      <c r="A38">
        <v>2</v>
      </c>
      <c r="B38" t="s">
        <v>14</v>
      </c>
      <c r="C38">
        <v>1</v>
      </c>
      <c r="D38">
        <v>0.5</v>
      </c>
      <c r="E38">
        <v>30</v>
      </c>
      <c r="F38" t="s">
        <v>70</v>
      </c>
      <c r="G38" t="s">
        <v>19</v>
      </c>
      <c r="H38">
        <v>8</v>
      </c>
      <c r="I38">
        <v>0</v>
      </c>
      <c r="J38">
        <v>0.11</v>
      </c>
      <c r="K38">
        <v>2.03</v>
      </c>
      <c r="L38" t="s">
        <v>20</v>
      </c>
      <c r="M38">
        <f>H38+I38</f>
        <v>0</v>
      </c>
      <c r="N38">
        <f>IF(M38&gt;0,H38/M38,"")</f>
        <v>0</v>
      </c>
    </row>
    <row r="39" spans="1:14">
      <c r="A39">
        <v>3</v>
      </c>
      <c r="B39" t="s">
        <v>14</v>
      </c>
      <c r="C39">
        <v>1</v>
      </c>
      <c r="D39">
        <v>0.5</v>
      </c>
      <c r="E39">
        <v>30</v>
      </c>
      <c r="F39" t="s">
        <v>71</v>
      </c>
      <c r="G39" t="s">
        <v>66</v>
      </c>
      <c r="H39">
        <v>9</v>
      </c>
      <c r="I39">
        <v>0</v>
      </c>
      <c r="J39">
        <v>0.11</v>
      </c>
      <c r="K39">
        <v>2.06</v>
      </c>
      <c r="L39" t="s">
        <v>23</v>
      </c>
      <c r="M39">
        <f>H39+I39</f>
        <v>0</v>
      </c>
      <c r="N39">
        <f>IF(M39&gt;0,H39/M39,"")</f>
        <v>0</v>
      </c>
    </row>
    <row r="40" spans="1:14">
      <c r="A40">
        <v>4</v>
      </c>
      <c r="B40" t="s">
        <v>14</v>
      </c>
      <c r="C40">
        <v>1</v>
      </c>
      <c r="D40">
        <v>0.5</v>
      </c>
      <c r="E40">
        <v>30</v>
      </c>
      <c r="F40" t="s">
        <v>72</v>
      </c>
      <c r="G40" t="s">
        <v>73</v>
      </c>
      <c r="H40">
        <v>16</v>
      </c>
      <c r="I40">
        <v>1</v>
      </c>
      <c r="J40">
        <v>0.12</v>
      </c>
      <c r="K40">
        <v>2.03</v>
      </c>
      <c r="L40" t="s">
        <v>74</v>
      </c>
      <c r="M40">
        <f>H40+I40</f>
        <v>0</v>
      </c>
      <c r="N40">
        <f>IF(M40&gt;0,H40/M40,"")</f>
        <v>0</v>
      </c>
    </row>
    <row r="41" spans="1:14">
      <c r="A41">
        <v>5</v>
      </c>
      <c r="B41" t="s">
        <v>14</v>
      </c>
      <c r="C41">
        <v>1</v>
      </c>
      <c r="D41">
        <v>0.5</v>
      </c>
      <c r="E41">
        <v>30</v>
      </c>
      <c r="F41" t="s">
        <v>75</v>
      </c>
      <c r="G41" t="s">
        <v>28</v>
      </c>
      <c r="H41">
        <v>6</v>
      </c>
      <c r="I41">
        <v>0</v>
      </c>
      <c r="J41">
        <v>0.12</v>
      </c>
      <c r="K41">
        <v>2.01</v>
      </c>
      <c r="L41" t="s">
        <v>29</v>
      </c>
      <c r="M41">
        <f>H41+I41</f>
        <v>0</v>
      </c>
      <c r="N41">
        <f>IF(M41&gt;0,H41/M41,"")</f>
        <v>0</v>
      </c>
    </row>
    <row r="42" spans="1:14">
      <c r="A42">
        <v>1</v>
      </c>
      <c r="B42" t="s">
        <v>14</v>
      </c>
      <c r="C42">
        <v>1</v>
      </c>
      <c r="D42">
        <v>0.95</v>
      </c>
      <c r="E42">
        <v>100</v>
      </c>
      <c r="F42" t="s">
        <v>76</v>
      </c>
      <c r="G42" t="s">
        <v>53</v>
      </c>
      <c r="H42">
        <v>5</v>
      </c>
      <c r="I42">
        <v>0</v>
      </c>
      <c r="J42">
        <v>0.11</v>
      </c>
      <c r="K42">
        <v>2.04</v>
      </c>
      <c r="L42" t="s">
        <v>17</v>
      </c>
      <c r="M42">
        <f>H42+I42</f>
        <v>0</v>
      </c>
      <c r="N42">
        <f>IF(M42&gt;0,H42/M42,"")</f>
        <v>0</v>
      </c>
    </row>
    <row r="43" spans="1:14">
      <c r="A43">
        <v>2</v>
      </c>
      <c r="B43" t="s">
        <v>14</v>
      </c>
      <c r="C43">
        <v>1</v>
      </c>
      <c r="D43">
        <v>0.95</v>
      </c>
      <c r="E43">
        <v>100</v>
      </c>
      <c r="F43" t="s">
        <v>77</v>
      </c>
      <c r="G43" t="s">
        <v>78</v>
      </c>
      <c r="H43">
        <v>9</v>
      </c>
      <c r="I43">
        <v>0</v>
      </c>
      <c r="J43">
        <v>0.11</v>
      </c>
      <c r="K43">
        <v>2.01</v>
      </c>
      <c r="L43" t="s">
        <v>20</v>
      </c>
      <c r="M43">
        <f>H43+I43</f>
        <v>0</v>
      </c>
      <c r="N43">
        <f>IF(M43&gt;0,H43/M43,"")</f>
        <v>0</v>
      </c>
    </row>
    <row r="44" spans="1:14">
      <c r="A44">
        <v>3</v>
      </c>
      <c r="B44" t="s">
        <v>14</v>
      </c>
      <c r="C44">
        <v>1</v>
      </c>
      <c r="D44">
        <v>0.95</v>
      </c>
      <c r="E44">
        <v>100</v>
      </c>
      <c r="F44" t="s">
        <v>79</v>
      </c>
      <c r="G44" t="s">
        <v>80</v>
      </c>
      <c r="H44">
        <v>10</v>
      </c>
      <c r="I44">
        <v>1</v>
      </c>
      <c r="J44">
        <v>0.11</v>
      </c>
      <c r="K44">
        <v>2.04</v>
      </c>
      <c r="L44" t="s">
        <v>23</v>
      </c>
      <c r="M44">
        <f>H44+I44</f>
        <v>0</v>
      </c>
      <c r="N44">
        <f>IF(M44&gt;0,H44/M44,"")</f>
        <v>0</v>
      </c>
    </row>
    <row r="45" spans="1:14">
      <c r="A45">
        <v>4</v>
      </c>
      <c r="B45" t="s">
        <v>14</v>
      </c>
      <c r="C45">
        <v>1</v>
      </c>
      <c r="D45">
        <v>0.95</v>
      </c>
      <c r="E45">
        <v>100</v>
      </c>
      <c r="F45" t="s">
        <v>81</v>
      </c>
      <c r="G45" t="s">
        <v>82</v>
      </c>
      <c r="H45">
        <v>11</v>
      </c>
      <c r="I45">
        <v>2</v>
      </c>
      <c r="J45">
        <v>0.11</v>
      </c>
      <c r="K45">
        <v>2.02</v>
      </c>
      <c r="L45" t="s">
        <v>83</v>
      </c>
      <c r="M45">
        <f>H45+I45</f>
        <v>0</v>
      </c>
      <c r="N45">
        <f>IF(M45&gt;0,H45/M45,"")</f>
        <v>0</v>
      </c>
    </row>
    <row r="46" spans="1:14">
      <c r="A46">
        <v>5</v>
      </c>
      <c r="B46" t="s">
        <v>14</v>
      </c>
      <c r="C46">
        <v>1</v>
      </c>
      <c r="D46">
        <v>0.95</v>
      </c>
      <c r="E46">
        <v>100</v>
      </c>
      <c r="F46" t="s">
        <v>84</v>
      </c>
      <c r="G46" t="s">
        <v>85</v>
      </c>
      <c r="H46">
        <v>1</v>
      </c>
      <c r="I46">
        <v>1</v>
      </c>
      <c r="J46">
        <v>0.11</v>
      </c>
      <c r="K46">
        <v>2.01</v>
      </c>
      <c r="L46" t="s">
        <v>29</v>
      </c>
      <c r="M46">
        <f>H46+I46</f>
        <v>0</v>
      </c>
      <c r="N46">
        <f>IF(M46&gt;0,H46/M46,"")</f>
        <v>0</v>
      </c>
    </row>
    <row r="47" spans="1:14">
      <c r="A47">
        <v>1</v>
      </c>
      <c r="B47" t="s">
        <v>14</v>
      </c>
      <c r="C47">
        <v>2</v>
      </c>
      <c r="D47">
        <v>0.1</v>
      </c>
      <c r="E47">
        <v>10</v>
      </c>
      <c r="F47" t="s">
        <v>15</v>
      </c>
      <c r="G47" t="s">
        <v>16</v>
      </c>
      <c r="H47">
        <v>5</v>
      </c>
      <c r="I47">
        <v>0</v>
      </c>
      <c r="J47">
        <v>0.11</v>
      </c>
      <c r="K47">
        <v>2.01</v>
      </c>
      <c r="L47" t="s">
        <v>17</v>
      </c>
      <c r="M47">
        <f>H47+I47</f>
        <v>0</v>
      </c>
      <c r="N47">
        <f>IF(M47&gt;0,H47/M47,"")</f>
        <v>0</v>
      </c>
    </row>
    <row r="48" spans="1:14">
      <c r="A48">
        <v>2</v>
      </c>
      <c r="B48" t="s">
        <v>14</v>
      </c>
      <c r="C48">
        <v>2</v>
      </c>
      <c r="D48">
        <v>0.1</v>
      </c>
      <c r="E48">
        <v>10</v>
      </c>
      <c r="F48" t="s">
        <v>18</v>
      </c>
      <c r="G48" t="s">
        <v>19</v>
      </c>
      <c r="H48">
        <v>8</v>
      </c>
      <c r="I48">
        <v>0</v>
      </c>
      <c r="J48">
        <v>0.12</v>
      </c>
      <c r="K48">
        <v>2.01</v>
      </c>
      <c r="L48" t="s">
        <v>20</v>
      </c>
      <c r="M48">
        <f>H48+I48</f>
        <v>0</v>
      </c>
      <c r="N48">
        <f>IF(M48&gt;0,H48/M48,"")</f>
        <v>0</v>
      </c>
    </row>
    <row r="49" spans="1:14">
      <c r="A49">
        <v>3</v>
      </c>
      <c r="B49" t="s">
        <v>14</v>
      </c>
      <c r="C49">
        <v>2</v>
      </c>
      <c r="D49">
        <v>0.1</v>
      </c>
      <c r="E49">
        <v>10</v>
      </c>
      <c r="F49" t="s">
        <v>21</v>
      </c>
      <c r="G49" t="s">
        <v>22</v>
      </c>
      <c r="H49">
        <v>8</v>
      </c>
      <c r="I49">
        <v>1</v>
      </c>
      <c r="J49">
        <v>0.11</v>
      </c>
      <c r="K49">
        <v>2.01</v>
      </c>
      <c r="L49" t="s">
        <v>23</v>
      </c>
      <c r="M49">
        <f>H49+I49</f>
        <v>0</v>
      </c>
      <c r="N49">
        <f>IF(M49&gt;0,H49/M49,"")</f>
        <v>0</v>
      </c>
    </row>
    <row r="50" spans="1:14">
      <c r="A50">
        <v>4</v>
      </c>
      <c r="B50" t="s">
        <v>14</v>
      </c>
      <c r="C50">
        <v>2</v>
      </c>
      <c r="D50">
        <v>0.1</v>
      </c>
      <c r="E50">
        <v>10</v>
      </c>
      <c r="F50" t="s">
        <v>24</v>
      </c>
      <c r="G50" t="s">
        <v>25</v>
      </c>
      <c r="H50">
        <v>14</v>
      </c>
      <c r="I50">
        <v>0</v>
      </c>
      <c r="J50">
        <v>0.11</v>
      </c>
      <c r="K50">
        <v>2.06</v>
      </c>
      <c r="L50" t="s">
        <v>26</v>
      </c>
      <c r="M50">
        <f>H50+I50</f>
        <v>0</v>
      </c>
      <c r="N50">
        <f>IF(M50&gt;0,H50/M50,"")</f>
        <v>0</v>
      </c>
    </row>
    <row r="51" spans="1:14">
      <c r="A51">
        <v>5</v>
      </c>
      <c r="B51" t="s">
        <v>14</v>
      </c>
      <c r="C51">
        <v>2</v>
      </c>
      <c r="D51">
        <v>0.1</v>
      </c>
      <c r="E51">
        <v>10</v>
      </c>
      <c r="F51" t="s">
        <v>86</v>
      </c>
      <c r="G51" t="s">
        <v>28</v>
      </c>
      <c r="H51">
        <v>6</v>
      </c>
      <c r="I51">
        <v>0</v>
      </c>
      <c r="J51">
        <v>0.11</v>
      </c>
      <c r="K51">
        <v>2.02</v>
      </c>
      <c r="L51" t="s">
        <v>38</v>
      </c>
      <c r="M51">
        <f>H51+I51</f>
        <v>0</v>
      </c>
      <c r="N51">
        <f>IF(M51&gt;0,H51/M51,"")</f>
        <v>0</v>
      </c>
    </row>
    <row r="52" spans="1:14">
      <c r="A52">
        <v>1</v>
      </c>
      <c r="B52" t="s">
        <v>14</v>
      </c>
      <c r="C52">
        <v>2</v>
      </c>
      <c r="D52">
        <v>0.5</v>
      </c>
      <c r="E52">
        <v>30</v>
      </c>
      <c r="F52" t="s">
        <v>39</v>
      </c>
      <c r="G52" t="s">
        <v>40</v>
      </c>
      <c r="H52">
        <v>4</v>
      </c>
      <c r="I52">
        <v>0</v>
      </c>
      <c r="J52">
        <v>0.11</v>
      </c>
      <c r="K52">
        <v>2.01</v>
      </c>
      <c r="L52" t="s">
        <v>41</v>
      </c>
      <c r="M52">
        <f>H52+I52</f>
        <v>0</v>
      </c>
      <c r="N52">
        <f>IF(M52&gt;0,H52/M52,"")</f>
        <v>0</v>
      </c>
    </row>
    <row r="53" spans="1:14">
      <c r="A53">
        <v>2</v>
      </c>
      <c r="B53" t="s">
        <v>14</v>
      </c>
      <c r="C53">
        <v>2</v>
      </c>
      <c r="D53">
        <v>0.5</v>
      </c>
      <c r="E53">
        <v>30</v>
      </c>
      <c r="F53" t="s">
        <v>87</v>
      </c>
      <c r="G53" t="s">
        <v>88</v>
      </c>
      <c r="H53">
        <v>7</v>
      </c>
      <c r="I53">
        <v>1</v>
      </c>
      <c r="J53">
        <v>0.11</v>
      </c>
      <c r="K53">
        <v>2.04</v>
      </c>
      <c r="L53" t="s">
        <v>44</v>
      </c>
      <c r="M53">
        <f>H53+I53</f>
        <v>0</v>
      </c>
      <c r="N53">
        <f>IF(M53&gt;0,H53/M53,"")</f>
        <v>0</v>
      </c>
    </row>
    <row r="54" spans="1:14">
      <c r="A54">
        <v>3</v>
      </c>
      <c r="B54" t="s">
        <v>14</v>
      </c>
      <c r="C54">
        <v>2</v>
      </c>
      <c r="D54">
        <v>0.5</v>
      </c>
      <c r="E54">
        <v>30</v>
      </c>
      <c r="F54" t="s">
        <v>89</v>
      </c>
      <c r="G54" t="s">
        <v>90</v>
      </c>
      <c r="H54">
        <v>10</v>
      </c>
      <c r="I54">
        <v>0</v>
      </c>
      <c r="J54">
        <v>0.11</v>
      </c>
      <c r="K54">
        <v>2.04</v>
      </c>
      <c r="L54" t="s">
        <v>47</v>
      </c>
      <c r="M54">
        <f>H54+I54</f>
        <v>0</v>
      </c>
      <c r="N54">
        <f>IF(M54&gt;0,H54/M54,"")</f>
        <v>0</v>
      </c>
    </row>
    <row r="55" spans="1:14">
      <c r="A55">
        <v>4</v>
      </c>
      <c r="B55" t="s">
        <v>14</v>
      </c>
      <c r="C55">
        <v>2</v>
      </c>
      <c r="D55">
        <v>0.5</v>
      </c>
      <c r="E55">
        <v>30</v>
      </c>
      <c r="F55" t="s">
        <v>91</v>
      </c>
      <c r="G55" t="s">
        <v>92</v>
      </c>
      <c r="H55">
        <v>15</v>
      </c>
      <c r="I55">
        <v>0</v>
      </c>
      <c r="J55">
        <v>0.11</v>
      </c>
      <c r="K55">
        <v>2.02</v>
      </c>
      <c r="L55" t="s">
        <v>93</v>
      </c>
      <c r="M55">
        <f>H55+I55</f>
        <v>0</v>
      </c>
      <c r="N55">
        <f>IF(M55&gt;0,H55/M55,"")</f>
        <v>0</v>
      </c>
    </row>
    <row r="56" spans="1:14">
      <c r="A56">
        <v>5</v>
      </c>
      <c r="B56" t="s">
        <v>14</v>
      </c>
      <c r="C56">
        <v>2</v>
      </c>
      <c r="D56">
        <v>0.5</v>
      </c>
      <c r="E56">
        <v>30</v>
      </c>
      <c r="F56" t="s">
        <v>94</v>
      </c>
      <c r="G56" t="s">
        <v>61</v>
      </c>
      <c r="H56">
        <v>7</v>
      </c>
      <c r="I56">
        <v>0</v>
      </c>
      <c r="J56">
        <v>0.11</v>
      </c>
      <c r="K56">
        <v>2.01</v>
      </c>
      <c r="L56" t="s">
        <v>95</v>
      </c>
      <c r="M56">
        <f>H56+I56</f>
        <v>0</v>
      </c>
      <c r="N56">
        <f>IF(M56&gt;0,H56/M56,"")</f>
        <v>0</v>
      </c>
    </row>
    <row r="57" spans="1:14">
      <c r="A57">
        <v>1</v>
      </c>
      <c r="B57" t="s">
        <v>14</v>
      </c>
      <c r="C57">
        <v>2</v>
      </c>
      <c r="D57">
        <v>0.95</v>
      </c>
      <c r="E57">
        <v>100</v>
      </c>
      <c r="F57" t="s">
        <v>96</v>
      </c>
      <c r="G57" t="s">
        <v>97</v>
      </c>
      <c r="H57">
        <v>4</v>
      </c>
      <c r="I57">
        <v>0</v>
      </c>
      <c r="J57">
        <v>0.11</v>
      </c>
      <c r="K57">
        <v>2.04</v>
      </c>
      <c r="L57" t="s">
        <v>59</v>
      </c>
      <c r="M57">
        <f>H57+I57</f>
        <v>0</v>
      </c>
      <c r="N57">
        <f>IF(M57&gt;0,H57/M57,"")</f>
        <v>0</v>
      </c>
    </row>
    <row r="58" spans="1:14">
      <c r="A58">
        <v>2</v>
      </c>
      <c r="B58" t="s">
        <v>14</v>
      </c>
      <c r="C58">
        <v>2</v>
      </c>
      <c r="D58">
        <v>0.95</v>
      </c>
      <c r="E58">
        <v>100</v>
      </c>
      <c r="F58" t="s">
        <v>98</v>
      </c>
      <c r="G58" t="s">
        <v>19</v>
      </c>
      <c r="H58">
        <v>8</v>
      </c>
      <c r="I58">
        <v>0</v>
      </c>
      <c r="J58">
        <v>0.11</v>
      </c>
      <c r="K58">
        <v>2.02</v>
      </c>
      <c r="L58" t="s">
        <v>44</v>
      </c>
      <c r="M58">
        <f>H58+I58</f>
        <v>0</v>
      </c>
      <c r="N58">
        <f>IF(M58&gt;0,H58/M58,"")</f>
        <v>0</v>
      </c>
    </row>
    <row r="59" spans="1:14">
      <c r="A59">
        <v>3</v>
      </c>
      <c r="B59" t="s">
        <v>14</v>
      </c>
      <c r="C59">
        <v>2</v>
      </c>
      <c r="D59">
        <v>0.95</v>
      </c>
      <c r="E59">
        <v>100</v>
      </c>
      <c r="F59" t="s">
        <v>99</v>
      </c>
      <c r="G59" t="s">
        <v>28</v>
      </c>
      <c r="H59">
        <v>6</v>
      </c>
      <c r="I59">
        <v>0</v>
      </c>
      <c r="J59">
        <v>0.11</v>
      </c>
      <c r="K59">
        <v>2.03</v>
      </c>
      <c r="L59" t="s">
        <v>100</v>
      </c>
      <c r="M59">
        <f>H59+I59</f>
        <v>0</v>
      </c>
      <c r="N59">
        <f>IF(M59&gt;0,H59/M59,"")</f>
        <v>0</v>
      </c>
    </row>
    <row r="60" spans="1:14">
      <c r="A60">
        <v>4</v>
      </c>
      <c r="B60" t="s">
        <v>14</v>
      </c>
      <c r="C60">
        <v>2</v>
      </c>
      <c r="D60">
        <v>0.95</v>
      </c>
      <c r="E60">
        <v>100</v>
      </c>
      <c r="F60" t="s">
        <v>101</v>
      </c>
      <c r="G60" t="s">
        <v>102</v>
      </c>
      <c r="H60">
        <v>16</v>
      </c>
      <c r="I60">
        <v>2</v>
      </c>
      <c r="J60">
        <v>0.11</v>
      </c>
      <c r="K60">
        <v>2.05</v>
      </c>
      <c r="L60" t="s">
        <v>59</v>
      </c>
      <c r="M60">
        <f>H60+I60</f>
        <v>0</v>
      </c>
      <c r="N60">
        <f>IF(M60&gt;0,H60/M60,"")</f>
        <v>0</v>
      </c>
    </row>
    <row r="61" spans="1:14">
      <c r="A61">
        <v>5</v>
      </c>
      <c r="B61" t="s">
        <v>14</v>
      </c>
      <c r="C61">
        <v>2</v>
      </c>
      <c r="D61">
        <v>0.95</v>
      </c>
      <c r="E61">
        <v>100</v>
      </c>
      <c r="F61" t="s">
        <v>103</v>
      </c>
      <c r="G61" t="s">
        <v>104</v>
      </c>
      <c r="H61">
        <v>7</v>
      </c>
      <c r="I61">
        <v>0</v>
      </c>
      <c r="J61">
        <v>0.11</v>
      </c>
      <c r="K61">
        <v>2.03</v>
      </c>
      <c r="L61" t="s">
        <v>38</v>
      </c>
      <c r="M61">
        <f>H61+I61</f>
        <v>0</v>
      </c>
      <c r="N61">
        <f>IF(M61&gt;0,H61/M61,"")</f>
        <v>0</v>
      </c>
    </row>
    <row r="62" spans="1:14">
      <c r="A62">
        <v>1</v>
      </c>
      <c r="B62" t="s">
        <v>105</v>
      </c>
      <c r="C62">
        <v>0</v>
      </c>
      <c r="D62">
        <v>0.1</v>
      </c>
      <c r="E62">
        <v>10</v>
      </c>
      <c r="F62" t="s">
        <v>106</v>
      </c>
      <c r="G62" t="s">
        <v>16</v>
      </c>
      <c r="H62">
        <v>5</v>
      </c>
      <c r="I62">
        <v>0</v>
      </c>
      <c r="J62">
        <v>0.11</v>
      </c>
      <c r="K62">
        <v>2.01</v>
      </c>
      <c r="L62" t="s">
        <v>17</v>
      </c>
      <c r="M62">
        <f>H62+I62</f>
        <v>0</v>
      </c>
      <c r="N62">
        <f>IF(M62&gt;0,H62/M62,"")</f>
        <v>0</v>
      </c>
    </row>
    <row r="63" spans="1:14">
      <c r="A63">
        <v>2</v>
      </c>
      <c r="B63" t="s">
        <v>105</v>
      </c>
      <c r="C63">
        <v>0</v>
      </c>
      <c r="D63">
        <v>0.1</v>
      </c>
      <c r="E63">
        <v>10</v>
      </c>
      <c r="F63" t="s">
        <v>107</v>
      </c>
      <c r="G63" t="s">
        <v>104</v>
      </c>
      <c r="H63">
        <v>7</v>
      </c>
      <c r="I63">
        <v>0</v>
      </c>
      <c r="J63">
        <v>0.11</v>
      </c>
      <c r="K63">
        <v>2.01</v>
      </c>
      <c r="L63" t="s">
        <v>44</v>
      </c>
      <c r="M63">
        <f>H63+I63</f>
        <v>0</v>
      </c>
      <c r="N63">
        <f>IF(M63&gt;0,H63/M63,"")</f>
        <v>0</v>
      </c>
    </row>
    <row r="64" spans="1:14">
      <c r="A64">
        <v>3</v>
      </c>
      <c r="B64" t="s">
        <v>105</v>
      </c>
      <c r="C64">
        <v>0</v>
      </c>
      <c r="D64">
        <v>0.1</v>
      </c>
      <c r="E64">
        <v>10</v>
      </c>
      <c r="F64" t="s">
        <v>108</v>
      </c>
      <c r="G64" t="s">
        <v>104</v>
      </c>
      <c r="H64">
        <v>7</v>
      </c>
      <c r="I64">
        <v>0</v>
      </c>
      <c r="J64">
        <v>0.11</v>
      </c>
      <c r="K64">
        <v>2.02</v>
      </c>
      <c r="L64" t="s">
        <v>47</v>
      </c>
      <c r="M64">
        <f>H64+I64</f>
        <v>0</v>
      </c>
      <c r="N64">
        <f>IF(M64&gt;0,H64/M64,"")</f>
        <v>0</v>
      </c>
    </row>
    <row r="65" spans="1:14">
      <c r="A65">
        <v>4</v>
      </c>
      <c r="B65" t="s">
        <v>105</v>
      </c>
      <c r="C65">
        <v>0</v>
      </c>
      <c r="D65">
        <v>0.1</v>
      </c>
      <c r="E65">
        <v>10</v>
      </c>
      <c r="F65" t="s">
        <v>109</v>
      </c>
      <c r="G65" t="s">
        <v>110</v>
      </c>
      <c r="H65">
        <v>8</v>
      </c>
      <c r="I65">
        <v>1</v>
      </c>
      <c r="J65">
        <v>0.11</v>
      </c>
      <c r="K65">
        <v>2.04</v>
      </c>
      <c r="L65" t="s">
        <v>26</v>
      </c>
      <c r="M65">
        <f>H65+I65</f>
        <v>0</v>
      </c>
      <c r="N65">
        <f>IF(M65&gt;0,H65/M65,"")</f>
        <v>0</v>
      </c>
    </row>
    <row r="66" spans="1:14">
      <c r="A66">
        <v>5</v>
      </c>
      <c r="B66" t="s">
        <v>105</v>
      </c>
      <c r="C66">
        <v>0</v>
      </c>
      <c r="D66">
        <v>0.1</v>
      </c>
      <c r="E66">
        <v>10</v>
      </c>
      <c r="F66" t="s">
        <v>111</v>
      </c>
      <c r="G66" t="s">
        <v>16</v>
      </c>
      <c r="H66">
        <v>5</v>
      </c>
      <c r="I66">
        <v>0</v>
      </c>
      <c r="J66">
        <v>0.11</v>
      </c>
      <c r="K66">
        <v>2.01</v>
      </c>
      <c r="L66" t="s">
        <v>38</v>
      </c>
      <c r="M66">
        <f>H66+I66</f>
        <v>0</v>
      </c>
      <c r="N66">
        <f>IF(M66&gt;0,H66/M66,"")</f>
        <v>0</v>
      </c>
    </row>
    <row r="67" spans="1:14">
      <c r="A67">
        <v>1</v>
      </c>
      <c r="B67" t="s">
        <v>105</v>
      </c>
      <c r="C67">
        <v>0</v>
      </c>
      <c r="D67">
        <v>0.5</v>
      </c>
      <c r="E67">
        <v>30</v>
      </c>
      <c r="F67" t="s">
        <v>112</v>
      </c>
      <c r="G67" t="s">
        <v>16</v>
      </c>
      <c r="H67">
        <v>5</v>
      </c>
      <c r="I67">
        <v>0</v>
      </c>
      <c r="J67">
        <v>0.11</v>
      </c>
      <c r="K67">
        <v>2.03</v>
      </c>
      <c r="L67" t="s">
        <v>17</v>
      </c>
      <c r="M67">
        <f>H67+I67</f>
        <v>0</v>
      </c>
      <c r="N67">
        <f>IF(M67&gt;0,H67/M67,"")</f>
        <v>0</v>
      </c>
    </row>
    <row r="68" spans="1:14">
      <c r="A68">
        <v>2</v>
      </c>
      <c r="B68" t="s">
        <v>105</v>
      </c>
      <c r="C68">
        <v>0</v>
      </c>
      <c r="D68">
        <v>0.5</v>
      </c>
      <c r="E68">
        <v>30</v>
      </c>
      <c r="F68" t="s">
        <v>107</v>
      </c>
      <c r="G68" t="s">
        <v>104</v>
      </c>
      <c r="H68">
        <v>7</v>
      </c>
      <c r="I68">
        <v>0</v>
      </c>
      <c r="J68">
        <v>0.11</v>
      </c>
      <c r="K68">
        <v>2.02</v>
      </c>
      <c r="L68" t="s">
        <v>44</v>
      </c>
      <c r="M68">
        <f>H68+I68</f>
        <v>0</v>
      </c>
      <c r="N68">
        <f>IF(M68&gt;0,H68/M68,"")</f>
        <v>0</v>
      </c>
    </row>
    <row r="69" spans="1:14">
      <c r="A69">
        <v>3</v>
      </c>
      <c r="B69" t="s">
        <v>105</v>
      </c>
      <c r="C69">
        <v>0</v>
      </c>
      <c r="D69">
        <v>0.5</v>
      </c>
      <c r="E69">
        <v>30</v>
      </c>
      <c r="F69" t="s">
        <v>113</v>
      </c>
      <c r="G69" t="s">
        <v>104</v>
      </c>
      <c r="H69">
        <v>7</v>
      </c>
      <c r="I69">
        <v>0</v>
      </c>
      <c r="J69">
        <v>0.11</v>
      </c>
      <c r="K69">
        <v>2.01</v>
      </c>
      <c r="L69" t="s">
        <v>47</v>
      </c>
      <c r="M69">
        <f>H69+I69</f>
        <v>0</v>
      </c>
      <c r="N69">
        <f>IF(M69&gt;0,H69/M69,"")</f>
        <v>0</v>
      </c>
    </row>
    <row r="70" spans="1:14">
      <c r="A70">
        <v>4</v>
      </c>
      <c r="B70" t="s">
        <v>105</v>
      </c>
      <c r="C70">
        <v>0</v>
      </c>
      <c r="D70">
        <v>0.5</v>
      </c>
      <c r="E70">
        <v>30</v>
      </c>
      <c r="F70" t="s">
        <v>114</v>
      </c>
      <c r="G70" t="s">
        <v>115</v>
      </c>
      <c r="H70">
        <v>10</v>
      </c>
      <c r="I70">
        <v>0</v>
      </c>
      <c r="J70">
        <v>0.11</v>
      </c>
      <c r="K70">
        <v>2.03</v>
      </c>
      <c r="L70" t="s">
        <v>26</v>
      </c>
      <c r="M70">
        <f>H70+I70</f>
        <v>0</v>
      </c>
      <c r="N70">
        <f>IF(M70&gt;0,H70/M70,"")</f>
        <v>0</v>
      </c>
    </row>
    <row r="71" spans="1:14">
      <c r="A71">
        <v>5</v>
      </c>
      <c r="B71" t="s">
        <v>105</v>
      </c>
      <c r="C71">
        <v>0</v>
      </c>
      <c r="D71">
        <v>0.5</v>
      </c>
      <c r="E71">
        <v>30</v>
      </c>
      <c r="F71" t="s">
        <v>116</v>
      </c>
      <c r="G71" t="s">
        <v>28</v>
      </c>
      <c r="H71">
        <v>6</v>
      </c>
      <c r="I71">
        <v>0</v>
      </c>
      <c r="J71">
        <v>0.11</v>
      </c>
      <c r="K71">
        <v>2.05</v>
      </c>
      <c r="L71" t="s">
        <v>38</v>
      </c>
      <c r="M71">
        <f>H71+I71</f>
        <v>0</v>
      </c>
      <c r="N71">
        <f>IF(M71&gt;0,H71/M71,"")</f>
        <v>0</v>
      </c>
    </row>
    <row r="72" spans="1:14">
      <c r="A72">
        <v>1</v>
      </c>
      <c r="B72" t="s">
        <v>105</v>
      </c>
      <c r="C72">
        <v>0</v>
      </c>
      <c r="D72">
        <v>0.95</v>
      </c>
      <c r="E72">
        <v>100</v>
      </c>
      <c r="F72" t="s">
        <v>112</v>
      </c>
      <c r="G72" t="s">
        <v>16</v>
      </c>
      <c r="H72">
        <v>5</v>
      </c>
      <c r="I72">
        <v>0</v>
      </c>
      <c r="J72">
        <v>0.11</v>
      </c>
      <c r="K72">
        <v>2.01</v>
      </c>
      <c r="L72" t="s">
        <v>17</v>
      </c>
      <c r="M72">
        <f>H72+I72</f>
        <v>0</v>
      </c>
      <c r="N72">
        <f>IF(M72&gt;0,H72/M72,"")</f>
        <v>0</v>
      </c>
    </row>
    <row r="73" spans="1:14">
      <c r="A73">
        <v>2</v>
      </c>
      <c r="B73" t="s">
        <v>105</v>
      </c>
      <c r="C73">
        <v>0</v>
      </c>
      <c r="D73">
        <v>0.95</v>
      </c>
      <c r="E73">
        <v>100</v>
      </c>
      <c r="F73" t="s">
        <v>107</v>
      </c>
      <c r="G73" t="s">
        <v>104</v>
      </c>
      <c r="H73">
        <v>7</v>
      </c>
      <c r="I73">
        <v>0</v>
      </c>
      <c r="J73">
        <v>0.11</v>
      </c>
      <c r="K73">
        <v>2.02</v>
      </c>
      <c r="L73" t="s">
        <v>44</v>
      </c>
      <c r="M73">
        <f>H73+I73</f>
        <v>0</v>
      </c>
      <c r="N73">
        <f>IF(M73&gt;0,H73/M73,"")</f>
        <v>0</v>
      </c>
    </row>
    <row r="74" spans="1:14">
      <c r="A74">
        <v>3</v>
      </c>
      <c r="B74" t="s">
        <v>105</v>
      </c>
      <c r="C74">
        <v>0</v>
      </c>
      <c r="D74">
        <v>0.95</v>
      </c>
      <c r="E74">
        <v>100</v>
      </c>
      <c r="F74" t="s">
        <v>113</v>
      </c>
      <c r="G74" t="s">
        <v>104</v>
      </c>
      <c r="H74">
        <v>7</v>
      </c>
      <c r="I74">
        <v>0</v>
      </c>
      <c r="J74">
        <v>0.11</v>
      </c>
      <c r="K74">
        <v>2.01</v>
      </c>
      <c r="L74" t="s">
        <v>47</v>
      </c>
      <c r="M74">
        <f>H74+I74</f>
        <v>0</v>
      </c>
      <c r="N74">
        <f>IF(M74&gt;0,H74/M74,"")</f>
        <v>0</v>
      </c>
    </row>
    <row r="75" spans="1:14">
      <c r="A75">
        <v>4</v>
      </c>
      <c r="B75" t="s">
        <v>105</v>
      </c>
      <c r="C75">
        <v>0</v>
      </c>
      <c r="D75">
        <v>0.95</v>
      </c>
      <c r="E75">
        <v>100</v>
      </c>
      <c r="F75" t="s">
        <v>117</v>
      </c>
      <c r="G75" t="s">
        <v>118</v>
      </c>
      <c r="H75">
        <v>9</v>
      </c>
      <c r="I75">
        <v>1</v>
      </c>
      <c r="J75">
        <v>0.11</v>
      </c>
      <c r="K75">
        <v>2.01</v>
      </c>
      <c r="L75" t="s">
        <v>26</v>
      </c>
      <c r="M75">
        <f>H75+I75</f>
        <v>0</v>
      </c>
      <c r="N75">
        <f>IF(M75&gt;0,H75/M75,"")</f>
        <v>0</v>
      </c>
    </row>
    <row r="76" spans="1:14">
      <c r="A76">
        <v>5</v>
      </c>
      <c r="B76" t="s">
        <v>105</v>
      </c>
      <c r="C76">
        <v>0</v>
      </c>
      <c r="D76">
        <v>0.95</v>
      </c>
      <c r="E76">
        <v>100</v>
      </c>
      <c r="F76" t="s">
        <v>119</v>
      </c>
      <c r="G76" t="s">
        <v>16</v>
      </c>
      <c r="H76">
        <v>5</v>
      </c>
      <c r="I76">
        <v>0</v>
      </c>
      <c r="J76">
        <v>0.11</v>
      </c>
      <c r="K76">
        <v>2.01</v>
      </c>
      <c r="L76" t="s">
        <v>38</v>
      </c>
      <c r="M76">
        <f>H76+I76</f>
        <v>0</v>
      </c>
      <c r="N76">
        <f>IF(M76&gt;0,H76/M76,"")</f>
        <v>0</v>
      </c>
    </row>
    <row r="77" spans="1:14">
      <c r="A77">
        <v>1</v>
      </c>
      <c r="B77" t="s">
        <v>105</v>
      </c>
      <c r="C77">
        <v>0.5</v>
      </c>
      <c r="D77">
        <v>0.1</v>
      </c>
      <c r="E77">
        <v>10</v>
      </c>
      <c r="F77" t="s">
        <v>106</v>
      </c>
      <c r="G77" t="s">
        <v>16</v>
      </c>
      <c r="H77">
        <v>5</v>
      </c>
      <c r="I77">
        <v>0</v>
      </c>
      <c r="J77">
        <v>0.11</v>
      </c>
      <c r="K77">
        <v>2.03</v>
      </c>
      <c r="L77" t="s">
        <v>17</v>
      </c>
      <c r="M77">
        <f>H77+I77</f>
        <v>0</v>
      </c>
      <c r="N77">
        <f>IF(M77&gt;0,H77/M77,"")</f>
        <v>0</v>
      </c>
    </row>
    <row r="78" spans="1:14">
      <c r="A78">
        <v>2</v>
      </c>
      <c r="B78" t="s">
        <v>105</v>
      </c>
      <c r="C78">
        <v>0.5</v>
      </c>
      <c r="D78">
        <v>0.1</v>
      </c>
      <c r="E78">
        <v>10</v>
      </c>
      <c r="F78" t="s">
        <v>107</v>
      </c>
      <c r="G78" t="s">
        <v>104</v>
      </c>
      <c r="H78">
        <v>7</v>
      </c>
      <c r="I78">
        <v>0</v>
      </c>
      <c r="J78">
        <v>0.11</v>
      </c>
      <c r="K78">
        <v>2.06</v>
      </c>
      <c r="L78" t="s">
        <v>44</v>
      </c>
      <c r="M78">
        <f>H78+I78</f>
        <v>0</v>
      </c>
      <c r="N78">
        <f>IF(M78&gt;0,H78/M78,"")</f>
        <v>0</v>
      </c>
    </row>
    <row r="79" spans="1:14">
      <c r="A79">
        <v>3</v>
      </c>
      <c r="B79" t="s">
        <v>105</v>
      </c>
      <c r="C79">
        <v>0.5</v>
      </c>
      <c r="D79">
        <v>0.1</v>
      </c>
      <c r="E79">
        <v>10</v>
      </c>
      <c r="F79" t="s">
        <v>108</v>
      </c>
      <c r="G79" t="s">
        <v>104</v>
      </c>
      <c r="H79">
        <v>7</v>
      </c>
      <c r="I79">
        <v>0</v>
      </c>
      <c r="J79">
        <v>0.12</v>
      </c>
      <c r="K79">
        <v>2.02</v>
      </c>
      <c r="L79" t="s">
        <v>47</v>
      </c>
      <c r="M79">
        <f>H79+I79</f>
        <v>0</v>
      </c>
      <c r="N79">
        <f>IF(M79&gt;0,H79/M79,"")</f>
        <v>0</v>
      </c>
    </row>
    <row r="80" spans="1:14">
      <c r="A80">
        <v>4</v>
      </c>
      <c r="B80" t="s">
        <v>105</v>
      </c>
      <c r="C80">
        <v>0.5</v>
      </c>
      <c r="D80">
        <v>0.1</v>
      </c>
      <c r="E80">
        <v>10</v>
      </c>
      <c r="F80" t="s">
        <v>109</v>
      </c>
      <c r="G80" t="s">
        <v>110</v>
      </c>
      <c r="H80">
        <v>8</v>
      </c>
      <c r="I80">
        <v>1</v>
      </c>
      <c r="J80">
        <v>0.15</v>
      </c>
      <c r="K80">
        <v>2.01</v>
      </c>
      <c r="L80" t="s">
        <v>26</v>
      </c>
      <c r="M80">
        <f>H80+I80</f>
        <v>0</v>
      </c>
      <c r="N80">
        <f>IF(M80&gt;0,H80/M80,"")</f>
        <v>0</v>
      </c>
    </row>
    <row r="81" spans="1:14">
      <c r="A81">
        <v>5</v>
      </c>
      <c r="B81" t="s">
        <v>105</v>
      </c>
      <c r="C81">
        <v>0.5</v>
      </c>
      <c r="D81">
        <v>0.1</v>
      </c>
      <c r="E81">
        <v>10</v>
      </c>
      <c r="F81" t="s">
        <v>111</v>
      </c>
      <c r="G81" t="s">
        <v>16</v>
      </c>
      <c r="H81">
        <v>5</v>
      </c>
      <c r="I81">
        <v>0</v>
      </c>
      <c r="J81">
        <v>0.11</v>
      </c>
      <c r="K81">
        <v>2.01</v>
      </c>
      <c r="L81" t="s">
        <v>38</v>
      </c>
      <c r="M81">
        <f>H81+I81</f>
        <v>0</v>
      </c>
      <c r="N81">
        <f>IF(M81&gt;0,H81/M81,"")</f>
        <v>0</v>
      </c>
    </row>
    <row r="82" spans="1:14">
      <c r="A82">
        <v>1</v>
      </c>
      <c r="B82" t="s">
        <v>105</v>
      </c>
      <c r="C82">
        <v>0.5</v>
      </c>
      <c r="D82">
        <v>0.5</v>
      </c>
      <c r="E82">
        <v>30</v>
      </c>
      <c r="F82" t="s">
        <v>106</v>
      </c>
      <c r="G82" t="s">
        <v>16</v>
      </c>
      <c r="H82">
        <v>5</v>
      </c>
      <c r="I82">
        <v>0</v>
      </c>
      <c r="J82">
        <v>0.11</v>
      </c>
      <c r="K82">
        <v>2.01</v>
      </c>
      <c r="L82" t="s">
        <v>17</v>
      </c>
      <c r="M82">
        <f>H82+I82</f>
        <v>0</v>
      </c>
      <c r="N82">
        <f>IF(M82&gt;0,H82/M82,"")</f>
        <v>0</v>
      </c>
    </row>
    <row r="83" spans="1:14">
      <c r="A83">
        <v>2</v>
      </c>
      <c r="B83" t="s">
        <v>105</v>
      </c>
      <c r="C83">
        <v>0.5</v>
      </c>
      <c r="D83">
        <v>0.5</v>
      </c>
      <c r="E83">
        <v>30</v>
      </c>
      <c r="F83" t="s">
        <v>107</v>
      </c>
      <c r="G83" t="s">
        <v>104</v>
      </c>
      <c r="H83">
        <v>7</v>
      </c>
      <c r="I83">
        <v>0</v>
      </c>
      <c r="J83">
        <v>0.11</v>
      </c>
      <c r="K83">
        <v>2.01</v>
      </c>
      <c r="L83" t="s">
        <v>44</v>
      </c>
      <c r="M83">
        <f>H83+I83</f>
        <v>0</v>
      </c>
      <c r="N83">
        <f>IF(M83&gt;0,H83/M83,"")</f>
        <v>0</v>
      </c>
    </row>
    <row r="84" spans="1:14">
      <c r="A84">
        <v>3</v>
      </c>
      <c r="B84" t="s">
        <v>105</v>
      </c>
      <c r="C84">
        <v>0.5</v>
      </c>
      <c r="D84">
        <v>0.5</v>
      </c>
      <c r="E84">
        <v>30</v>
      </c>
      <c r="F84" t="s">
        <v>108</v>
      </c>
      <c r="G84" t="s">
        <v>104</v>
      </c>
      <c r="H84">
        <v>7</v>
      </c>
      <c r="I84">
        <v>0</v>
      </c>
      <c r="J84">
        <v>0.11</v>
      </c>
      <c r="K84">
        <v>2.01</v>
      </c>
      <c r="L84" t="s">
        <v>47</v>
      </c>
      <c r="M84">
        <f>H84+I84</f>
        <v>0</v>
      </c>
      <c r="N84">
        <f>IF(M84&gt;0,H84/M84,"")</f>
        <v>0</v>
      </c>
    </row>
    <row r="85" spans="1:14">
      <c r="A85">
        <v>4</v>
      </c>
      <c r="B85" t="s">
        <v>105</v>
      </c>
      <c r="C85">
        <v>0.5</v>
      </c>
      <c r="D85">
        <v>0.5</v>
      </c>
      <c r="E85">
        <v>30</v>
      </c>
      <c r="F85" t="s">
        <v>109</v>
      </c>
      <c r="G85" t="s">
        <v>110</v>
      </c>
      <c r="H85">
        <v>8</v>
      </c>
      <c r="I85">
        <v>1</v>
      </c>
      <c r="J85">
        <v>0.11</v>
      </c>
      <c r="K85">
        <v>2.04</v>
      </c>
      <c r="L85" t="s">
        <v>26</v>
      </c>
      <c r="M85">
        <f>H85+I85</f>
        <v>0</v>
      </c>
      <c r="N85">
        <f>IF(M85&gt;0,H85/M85,"")</f>
        <v>0</v>
      </c>
    </row>
    <row r="86" spans="1:14">
      <c r="A86">
        <v>5</v>
      </c>
      <c r="B86" t="s">
        <v>105</v>
      </c>
      <c r="C86">
        <v>0.5</v>
      </c>
      <c r="D86">
        <v>0.5</v>
      </c>
      <c r="E86">
        <v>30</v>
      </c>
      <c r="F86" t="s">
        <v>111</v>
      </c>
      <c r="G86" t="s">
        <v>16</v>
      </c>
      <c r="H86">
        <v>5</v>
      </c>
      <c r="I86">
        <v>0</v>
      </c>
      <c r="J86">
        <v>0.11</v>
      </c>
      <c r="K86">
        <v>2.02</v>
      </c>
      <c r="L86" t="s">
        <v>38</v>
      </c>
      <c r="M86">
        <f>H86+I86</f>
        <v>0</v>
      </c>
      <c r="N86">
        <f>IF(M86&gt;0,H86/M86,"")</f>
        <v>0</v>
      </c>
    </row>
    <row r="87" spans="1:14">
      <c r="A87">
        <v>1</v>
      </c>
      <c r="B87" t="s">
        <v>105</v>
      </c>
      <c r="C87">
        <v>0.5</v>
      </c>
      <c r="D87">
        <v>0.95</v>
      </c>
      <c r="E87">
        <v>100</v>
      </c>
      <c r="F87" t="s">
        <v>120</v>
      </c>
      <c r="G87" t="s">
        <v>121</v>
      </c>
      <c r="H87">
        <v>3</v>
      </c>
      <c r="I87">
        <v>0</v>
      </c>
      <c r="J87">
        <v>0.11</v>
      </c>
      <c r="K87">
        <v>2.02</v>
      </c>
      <c r="L87" t="s">
        <v>17</v>
      </c>
      <c r="M87">
        <f>H87+I87</f>
        <v>0</v>
      </c>
      <c r="N87">
        <f>IF(M87&gt;0,H87/M87,"")</f>
        <v>0</v>
      </c>
    </row>
    <row r="88" spans="1:14">
      <c r="A88">
        <v>2</v>
      </c>
      <c r="B88" t="s">
        <v>105</v>
      </c>
      <c r="C88">
        <v>0.5</v>
      </c>
      <c r="D88">
        <v>0.95</v>
      </c>
      <c r="E88">
        <v>100</v>
      </c>
      <c r="F88" t="s">
        <v>122</v>
      </c>
      <c r="G88" t="s">
        <v>104</v>
      </c>
      <c r="H88">
        <v>7</v>
      </c>
      <c r="I88">
        <v>0</v>
      </c>
      <c r="J88">
        <v>0.11</v>
      </c>
      <c r="K88">
        <v>2.01</v>
      </c>
      <c r="L88" t="s">
        <v>44</v>
      </c>
      <c r="M88">
        <f>H88+I88</f>
        <v>0</v>
      </c>
      <c r="N88">
        <f>IF(M88&gt;0,H88/M88,"")</f>
        <v>0</v>
      </c>
    </row>
    <row r="89" spans="1:14">
      <c r="A89">
        <v>3</v>
      </c>
      <c r="B89" t="s">
        <v>105</v>
      </c>
      <c r="C89">
        <v>0.5</v>
      </c>
      <c r="D89">
        <v>0.95</v>
      </c>
      <c r="E89">
        <v>100</v>
      </c>
      <c r="F89" t="s">
        <v>123</v>
      </c>
      <c r="G89" t="s">
        <v>28</v>
      </c>
      <c r="H89">
        <v>6</v>
      </c>
      <c r="I89">
        <v>0</v>
      </c>
      <c r="J89">
        <v>0.11</v>
      </c>
      <c r="K89">
        <v>2.04</v>
      </c>
      <c r="L89" t="s">
        <v>47</v>
      </c>
      <c r="M89">
        <f>H89+I89</f>
        <v>0</v>
      </c>
      <c r="N89">
        <f>IF(M89&gt;0,H89/M89,"")</f>
        <v>0</v>
      </c>
    </row>
    <row r="90" spans="1:14">
      <c r="A90">
        <v>4</v>
      </c>
      <c r="B90" t="s">
        <v>105</v>
      </c>
      <c r="C90">
        <v>0.5</v>
      </c>
      <c r="D90">
        <v>0.95</v>
      </c>
      <c r="E90">
        <v>100</v>
      </c>
      <c r="F90" t="s">
        <v>124</v>
      </c>
      <c r="G90" t="s">
        <v>110</v>
      </c>
      <c r="H90">
        <v>8</v>
      </c>
      <c r="I90">
        <v>1</v>
      </c>
      <c r="J90">
        <v>0.11</v>
      </c>
      <c r="K90">
        <v>2.03</v>
      </c>
      <c r="L90" t="s">
        <v>26</v>
      </c>
      <c r="M90">
        <f>H90+I90</f>
        <v>0</v>
      </c>
      <c r="N90">
        <f>IF(M90&gt;0,H90/M90,"")</f>
        <v>0</v>
      </c>
    </row>
    <row r="91" spans="1:14">
      <c r="A91">
        <v>5</v>
      </c>
      <c r="B91" t="s">
        <v>105</v>
      </c>
      <c r="C91">
        <v>0.5</v>
      </c>
      <c r="D91">
        <v>0.95</v>
      </c>
      <c r="E91">
        <v>100</v>
      </c>
      <c r="F91" t="s">
        <v>125</v>
      </c>
      <c r="G91" t="s">
        <v>97</v>
      </c>
      <c r="H91">
        <v>4</v>
      </c>
      <c r="I91">
        <v>0</v>
      </c>
      <c r="J91">
        <v>0.11</v>
      </c>
      <c r="K91">
        <v>2.02</v>
      </c>
      <c r="L91" t="s">
        <v>126</v>
      </c>
      <c r="M91">
        <f>H91+I91</f>
        <v>0</v>
      </c>
      <c r="N91">
        <f>IF(M91&gt;0,H91/M91,"")</f>
        <v>0</v>
      </c>
    </row>
    <row r="92" spans="1:14">
      <c r="A92">
        <v>1</v>
      </c>
      <c r="B92" t="s">
        <v>105</v>
      </c>
      <c r="C92">
        <v>1</v>
      </c>
      <c r="D92">
        <v>0.1</v>
      </c>
      <c r="E92">
        <v>10</v>
      </c>
      <c r="F92" t="s">
        <v>112</v>
      </c>
      <c r="G92" t="s">
        <v>16</v>
      </c>
      <c r="H92">
        <v>5</v>
      </c>
      <c r="I92">
        <v>0</v>
      </c>
      <c r="J92">
        <v>0.11</v>
      </c>
      <c r="K92">
        <v>2.04</v>
      </c>
      <c r="L92" t="s">
        <v>17</v>
      </c>
      <c r="M92">
        <f>H92+I92</f>
        <v>0</v>
      </c>
      <c r="N92">
        <f>IF(M92&gt;0,H92/M92,"")</f>
        <v>0</v>
      </c>
    </row>
    <row r="93" spans="1:14">
      <c r="A93">
        <v>2</v>
      </c>
      <c r="B93" t="s">
        <v>105</v>
      </c>
      <c r="C93">
        <v>1</v>
      </c>
      <c r="D93">
        <v>0.1</v>
      </c>
      <c r="E93">
        <v>10</v>
      </c>
      <c r="F93" t="s">
        <v>107</v>
      </c>
      <c r="G93" t="s">
        <v>104</v>
      </c>
      <c r="H93">
        <v>7</v>
      </c>
      <c r="I93">
        <v>0</v>
      </c>
      <c r="J93">
        <v>0.11</v>
      </c>
      <c r="K93">
        <v>2.02</v>
      </c>
      <c r="L93" t="s">
        <v>44</v>
      </c>
      <c r="M93">
        <f>H93+I93</f>
        <v>0</v>
      </c>
      <c r="N93">
        <f>IF(M93&gt;0,H93/M93,"")</f>
        <v>0</v>
      </c>
    </row>
    <row r="94" spans="1:14">
      <c r="A94">
        <v>3</v>
      </c>
      <c r="B94" t="s">
        <v>105</v>
      </c>
      <c r="C94">
        <v>1</v>
      </c>
      <c r="D94">
        <v>0.1</v>
      </c>
      <c r="E94">
        <v>10</v>
      </c>
      <c r="F94" t="s">
        <v>127</v>
      </c>
      <c r="G94" t="s">
        <v>104</v>
      </c>
      <c r="H94">
        <v>7</v>
      </c>
      <c r="I94">
        <v>0</v>
      </c>
      <c r="J94">
        <v>0.11</v>
      </c>
      <c r="K94">
        <v>2.01</v>
      </c>
      <c r="L94" t="s">
        <v>47</v>
      </c>
      <c r="M94">
        <f>H94+I94</f>
        <v>0</v>
      </c>
      <c r="N94">
        <f>IF(M94&gt;0,H94/M94,"")</f>
        <v>0</v>
      </c>
    </row>
    <row r="95" spans="1:14">
      <c r="A95">
        <v>4</v>
      </c>
      <c r="B95" t="s">
        <v>105</v>
      </c>
      <c r="C95">
        <v>1</v>
      </c>
      <c r="D95">
        <v>0.1</v>
      </c>
      <c r="E95">
        <v>10</v>
      </c>
      <c r="F95" t="s">
        <v>128</v>
      </c>
      <c r="G95" t="s">
        <v>66</v>
      </c>
      <c r="H95">
        <v>9</v>
      </c>
      <c r="I95">
        <v>0</v>
      </c>
      <c r="J95">
        <v>0.11</v>
      </c>
      <c r="K95">
        <v>2.04</v>
      </c>
      <c r="L95" t="s">
        <v>26</v>
      </c>
      <c r="M95">
        <f>H95+I95</f>
        <v>0</v>
      </c>
      <c r="N95">
        <f>IF(M95&gt;0,H95/M95,"")</f>
        <v>0</v>
      </c>
    </row>
    <row r="96" spans="1:14">
      <c r="A96">
        <v>5</v>
      </c>
      <c r="B96" t="s">
        <v>105</v>
      </c>
      <c r="C96">
        <v>1</v>
      </c>
      <c r="D96">
        <v>0.1</v>
      </c>
      <c r="E96">
        <v>10</v>
      </c>
      <c r="F96" t="s">
        <v>129</v>
      </c>
      <c r="G96" t="s">
        <v>16</v>
      </c>
      <c r="H96">
        <v>5</v>
      </c>
      <c r="I96">
        <v>0</v>
      </c>
      <c r="J96">
        <v>0.11</v>
      </c>
      <c r="K96">
        <v>2.01</v>
      </c>
      <c r="L96" t="s">
        <v>38</v>
      </c>
      <c r="M96">
        <f>H96+I96</f>
        <v>0</v>
      </c>
      <c r="N96">
        <f>IF(M96&gt;0,H96/M96,"")</f>
        <v>0</v>
      </c>
    </row>
    <row r="97" spans="1:14">
      <c r="A97">
        <v>1</v>
      </c>
      <c r="B97" t="s">
        <v>105</v>
      </c>
      <c r="C97">
        <v>1</v>
      </c>
      <c r="D97">
        <v>0.5</v>
      </c>
      <c r="E97">
        <v>30</v>
      </c>
      <c r="F97" t="s">
        <v>112</v>
      </c>
      <c r="G97" t="s">
        <v>16</v>
      </c>
      <c r="H97">
        <v>5</v>
      </c>
      <c r="I97">
        <v>0</v>
      </c>
      <c r="J97">
        <v>0.11</v>
      </c>
      <c r="K97">
        <v>2.01</v>
      </c>
      <c r="L97" t="s">
        <v>17</v>
      </c>
      <c r="M97">
        <f>H97+I97</f>
        <v>0</v>
      </c>
      <c r="N97">
        <f>IF(M97&gt;0,H97/M97,"")</f>
        <v>0</v>
      </c>
    </row>
    <row r="98" spans="1:14">
      <c r="A98">
        <v>2</v>
      </c>
      <c r="B98" t="s">
        <v>105</v>
      </c>
      <c r="C98">
        <v>1</v>
      </c>
      <c r="D98">
        <v>0.5</v>
      </c>
      <c r="E98">
        <v>30</v>
      </c>
      <c r="F98" t="s">
        <v>107</v>
      </c>
      <c r="G98" t="s">
        <v>104</v>
      </c>
      <c r="H98">
        <v>7</v>
      </c>
      <c r="I98">
        <v>0</v>
      </c>
      <c r="J98">
        <v>0.11</v>
      </c>
      <c r="K98">
        <v>2.02</v>
      </c>
      <c r="L98" t="s">
        <v>44</v>
      </c>
      <c r="M98">
        <f>H98+I98</f>
        <v>0</v>
      </c>
      <c r="N98">
        <f>IF(M98&gt;0,H98/M98,"")</f>
        <v>0</v>
      </c>
    </row>
    <row r="99" spans="1:14">
      <c r="A99">
        <v>3</v>
      </c>
      <c r="B99" t="s">
        <v>105</v>
      </c>
      <c r="C99">
        <v>1</v>
      </c>
      <c r="D99">
        <v>0.5</v>
      </c>
      <c r="E99">
        <v>30</v>
      </c>
      <c r="F99" t="s">
        <v>130</v>
      </c>
      <c r="G99" t="s">
        <v>104</v>
      </c>
      <c r="H99">
        <v>7</v>
      </c>
      <c r="I99">
        <v>0</v>
      </c>
      <c r="J99">
        <v>0.11</v>
      </c>
      <c r="K99">
        <v>2.01</v>
      </c>
      <c r="L99" t="s">
        <v>47</v>
      </c>
      <c r="M99">
        <f>H99+I99</f>
        <v>0</v>
      </c>
      <c r="N99">
        <f>IF(M99&gt;0,H99/M99,"")</f>
        <v>0</v>
      </c>
    </row>
    <row r="100" spans="1:14">
      <c r="A100">
        <v>4</v>
      </c>
      <c r="B100" t="s">
        <v>105</v>
      </c>
      <c r="C100">
        <v>1</v>
      </c>
      <c r="D100">
        <v>0.5</v>
      </c>
      <c r="E100">
        <v>30</v>
      </c>
      <c r="F100" t="s">
        <v>131</v>
      </c>
      <c r="G100" t="s">
        <v>115</v>
      </c>
      <c r="H100">
        <v>10</v>
      </c>
      <c r="I100">
        <v>0</v>
      </c>
      <c r="J100">
        <v>0.11</v>
      </c>
      <c r="K100">
        <v>2.03</v>
      </c>
      <c r="L100" t="s">
        <v>26</v>
      </c>
      <c r="M100">
        <f>H100+I100</f>
        <v>0</v>
      </c>
      <c r="N100">
        <f>IF(M100&gt;0,H100/M100,"")</f>
        <v>0</v>
      </c>
    </row>
    <row r="101" spans="1:14">
      <c r="A101">
        <v>5</v>
      </c>
      <c r="B101" t="s">
        <v>105</v>
      </c>
      <c r="C101">
        <v>1</v>
      </c>
      <c r="D101">
        <v>0.5</v>
      </c>
      <c r="E101">
        <v>30</v>
      </c>
      <c r="F101" t="s">
        <v>132</v>
      </c>
      <c r="G101" t="s">
        <v>28</v>
      </c>
      <c r="H101">
        <v>6</v>
      </c>
      <c r="I101">
        <v>0</v>
      </c>
      <c r="J101">
        <v>0.11</v>
      </c>
      <c r="K101">
        <v>2.05</v>
      </c>
      <c r="L101" t="s">
        <v>29</v>
      </c>
      <c r="M101">
        <f>H101+I101</f>
        <v>0</v>
      </c>
      <c r="N101">
        <f>IF(M101&gt;0,H101/M101,"")</f>
        <v>0</v>
      </c>
    </row>
    <row r="102" spans="1:14">
      <c r="A102">
        <v>1</v>
      </c>
      <c r="B102" t="s">
        <v>105</v>
      </c>
      <c r="C102">
        <v>1</v>
      </c>
      <c r="D102">
        <v>0.95</v>
      </c>
      <c r="E102">
        <v>100</v>
      </c>
      <c r="F102" t="s">
        <v>133</v>
      </c>
      <c r="G102" t="s">
        <v>121</v>
      </c>
      <c r="H102">
        <v>3</v>
      </c>
      <c r="I102">
        <v>0</v>
      </c>
      <c r="J102">
        <v>0.11</v>
      </c>
      <c r="K102">
        <v>2.02</v>
      </c>
      <c r="L102" t="s">
        <v>17</v>
      </c>
      <c r="M102">
        <f>H102+I102</f>
        <v>0</v>
      </c>
      <c r="N102">
        <f>IF(M102&gt;0,H102/M102,"")</f>
        <v>0</v>
      </c>
    </row>
    <row r="103" spans="1:14">
      <c r="A103">
        <v>2</v>
      </c>
      <c r="B103" t="s">
        <v>105</v>
      </c>
      <c r="C103">
        <v>1</v>
      </c>
      <c r="D103">
        <v>0.95</v>
      </c>
      <c r="E103">
        <v>100</v>
      </c>
      <c r="F103" t="s">
        <v>134</v>
      </c>
      <c r="G103" t="s">
        <v>104</v>
      </c>
      <c r="H103">
        <v>7</v>
      </c>
      <c r="I103">
        <v>0</v>
      </c>
      <c r="J103">
        <v>0.11</v>
      </c>
      <c r="K103">
        <v>2.01</v>
      </c>
      <c r="L103" t="s">
        <v>44</v>
      </c>
      <c r="M103">
        <f>H103+I103</f>
        <v>0</v>
      </c>
      <c r="N103">
        <f>IF(M103&gt;0,H103/M103,"")</f>
        <v>0</v>
      </c>
    </row>
    <row r="104" spans="1:14">
      <c r="A104">
        <v>3</v>
      </c>
      <c r="B104" t="s">
        <v>105</v>
      </c>
      <c r="C104">
        <v>1</v>
      </c>
      <c r="D104">
        <v>0.95</v>
      </c>
      <c r="E104">
        <v>100</v>
      </c>
      <c r="F104" t="s">
        <v>135</v>
      </c>
      <c r="G104" t="s">
        <v>28</v>
      </c>
      <c r="H104">
        <v>6</v>
      </c>
      <c r="I104">
        <v>0</v>
      </c>
      <c r="J104">
        <v>0.11</v>
      </c>
      <c r="K104">
        <v>2.02</v>
      </c>
      <c r="L104" t="s">
        <v>47</v>
      </c>
      <c r="M104">
        <f>H104+I104</f>
        <v>0</v>
      </c>
      <c r="N104">
        <f>IF(M104&gt;0,H104/M104,"")</f>
        <v>0</v>
      </c>
    </row>
    <row r="105" spans="1:14">
      <c r="A105">
        <v>4</v>
      </c>
      <c r="B105" t="s">
        <v>105</v>
      </c>
      <c r="C105">
        <v>1</v>
      </c>
      <c r="D105">
        <v>0.95</v>
      </c>
      <c r="E105">
        <v>100</v>
      </c>
      <c r="F105" t="s">
        <v>136</v>
      </c>
      <c r="G105" t="s">
        <v>104</v>
      </c>
      <c r="H105">
        <v>7</v>
      </c>
      <c r="I105">
        <v>0</v>
      </c>
      <c r="J105">
        <v>0.11</v>
      </c>
      <c r="K105">
        <v>2.01</v>
      </c>
      <c r="L105" t="s">
        <v>137</v>
      </c>
      <c r="M105">
        <f>H105+I105</f>
        <v>0</v>
      </c>
      <c r="N105">
        <f>IF(M105&gt;0,H105/M105,"")</f>
        <v>0</v>
      </c>
    </row>
    <row r="106" spans="1:14">
      <c r="A106">
        <v>5</v>
      </c>
      <c r="B106" t="s">
        <v>105</v>
      </c>
      <c r="C106">
        <v>1</v>
      </c>
      <c r="D106">
        <v>0.95</v>
      </c>
      <c r="E106">
        <v>100</v>
      </c>
      <c r="F106" t="s">
        <v>138</v>
      </c>
      <c r="G106" t="s">
        <v>97</v>
      </c>
      <c r="H106">
        <v>4</v>
      </c>
      <c r="I106">
        <v>0</v>
      </c>
      <c r="J106">
        <v>0.11</v>
      </c>
      <c r="K106">
        <v>2.01</v>
      </c>
      <c r="L106" t="s">
        <v>38</v>
      </c>
      <c r="M106">
        <f>H106+I106</f>
        <v>0</v>
      </c>
      <c r="N106">
        <f>IF(M106&gt;0,H106/M106,"")</f>
        <v>0</v>
      </c>
    </row>
    <row r="107" spans="1:14">
      <c r="A107">
        <v>1</v>
      </c>
      <c r="B107" t="s">
        <v>105</v>
      </c>
      <c r="C107">
        <v>2</v>
      </c>
      <c r="D107">
        <v>0.1</v>
      </c>
      <c r="E107">
        <v>10</v>
      </c>
      <c r="F107" t="s">
        <v>112</v>
      </c>
      <c r="G107" t="s">
        <v>16</v>
      </c>
      <c r="H107">
        <v>5</v>
      </c>
      <c r="I107">
        <v>0</v>
      </c>
      <c r="J107">
        <v>0.11</v>
      </c>
      <c r="K107">
        <v>2.02</v>
      </c>
      <c r="L107" t="s">
        <v>17</v>
      </c>
      <c r="M107">
        <f>H107+I107</f>
        <v>0</v>
      </c>
      <c r="N107">
        <f>IF(M107&gt;0,H107/M107,"")</f>
        <v>0</v>
      </c>
    </row>
    <row r="108" spans="1:14">
      <c r="A108">
        <v>2</v>
      </c>
      <c r="B108" t="s">
        <v>105</v>
      </c>
      <c r="C108">
        <v>2</v>
      </c>
      <c r="D108">
        <v>0.1</v>
      </c>
      <c r="E108">
        <v>10</v>
      </c>
      <c r="F108" t="s">
        <v>107</v>
      </c>
      <c r="G108" t="s">
        <v>104</v>
      </c>
      <c r="H108">
        <v>7</v>
      </c>
      <c r="I108">
        <v>0</v>
      </c>
      <c r="J108">
        <v>0.11</v>
      </c>
      <c r="K108">
        <v>2.01</v>
      </c>
      <c r="L108" t="s">
        <v>44</v>
      </c>
      <c r="M108">
        <f>H108+I108</f>
        <v>0</v>
      </c>
      <c r="N108">
        <f>IF(M108&gt;0,H108/M108,"")</f>
        <v>0</v>
      </c>
    </row>
    <row r="109" spans="1:14">
      <c r="A109">
        <v>3</v>
      </c>
      <c r="B109" t="s">
        <v>105</v>
      </c>
      <c r="C109">
        <v>2</v>
      </c>
      <c r="D109">
        <v>0.1</v>
      </c>
      <c r="E109">
        <v>10</v>
      </c>
      <c r="F109" t="s">
        <v>127</v>
      </c>
      <c r="G109" t="s">
        <v>104</v>
      </c>
      <c r="H109">
        <v>7</v>
      </c>
      <c r="I109">
        <v>0</v>
      </c>
      <c r="J109">
        <v>0.11</v>
      </c>
      <c r="K109">
        <v>2.03</v>
      </c>
      <c r="L109" t="s">
        <v>47</v>
      </c>
      <c r="M109">
        <f>H109+I109</f>
        <v>0</v>
      </c>
      <c r="N109">
        <f>IF(M109&gt;0,H109/M109,"")</f>
        <v>0</v>
      </c>
    </row>
    <row r="110" spans="1:14">
      <c r="A110">
        <v>4</v>
      </c>
      <c r="B110" t="s">
        <v>105</v>
      </c>
      <c r="C110">
        <v>2</v>
      </c>
      <c r="D110">
        <v>0.1</v>
      </c>
      <c r="E110">
        <v>10</v>
      </c>
      <c r="F110" t="s">
        <v>139</v>
      </c>
      <c r="G110" t="s">
        <v>140</v>
      </c>
      <c r="H110">
        <v>13</v>
      </c>
      <c r="I110">
        <v>1</v>
      </c>
      <c r="J110">
        <v>0.12</v>
      </c>
      <c r="K110">
        <v>2.01</v>
      </c>
      <c r="L110" t="s">
        <v>26</v>
      </c>
      <c r="M110">
        <f>H110+I110</f>
        <v>0</v>
      </c>
      <c r="N110">
        <f>IF(M110&gt;0,H110/M110,"")</f>
        <v>0</v>
      </c>
    </row>
    <row r="111" spans="1:14">
      <c r="A111">
        <v>5</v>
      </c>
      <c r="B111" t="s">
        <v>105</v>
      </c>
      <c r="C111">
        <v>2</v>
      </c>
      <c r="D111">
        <v>0.1</v>
      </c>
      <c r="E111">
        <v>10</v>
      </c>
      <c r="F111" t="s">
        <v>129</v>
      </c>
      <c r="G111" t="s">
        <v>16</v>
      </c>
      <c r="H111">
        <v>5</v>
      </c>
      <c r="I111">
        <v>0</v>
      </c>
      <c r="J111">
        <v>0.11</v>
      </c>
      <c r="K111">
        <v>2.04</v>
      </c>
      <c r="L111" t="s">
        <v>38</v>
      </c>
      <c r="M111">
        <f>H111+I111</f>
        <v>0</v>
      </c>
      <c r="N111">
        <f>IF(M111&gt;0,H111/M111,"")</f>
        <v>0</v>
      </c>
    </row>
    <row r="112" spans="1:14">
      <c r="A112">
        <v>1</v>
      </c>
      <c r="B112" t="s">
        <v>105</v>
      </c>
      <c r="C112">
        <v>2</v>
      </c>
      <c r="D112">
        <v>0.5</v>
      </c>
      <c r="E112">
        <v>30</v>
      </c>
      <c r="F112" t="s">
        <v>106</v>
      </c>
      <c r="G112" t="s">
        <v>16</v>
      </c>
      <c r="H112">
        <v>5</v>
      </c>
      <c r="I112">
        <v>0</v>
      </c>
      <c r="J112">
        <v>0.11</v>
      </c>
      <c r="K112">
        <v>2.02</v>
      </c>
      <c r="L112" t="s">
        <v>17</v>
      </c>
      <c r="M112">
        <f>H112+I112</f>
        <v>0</v>
      </c>
      <c r="N112">
        <f>IF(M112&gt;0,H112/M112,"")</f>
        <v>0</v>
      </c>
    </row>
    <row r="113" spans="1:14">
      <c r="A113">
        <v>2</v>
      </c>
      <c r="B113" t="s">
        <v>105</v>
      </c>
      <c r="C113">
        <v>2</v>
      </c>
      <c r="D113">
        <v>0.5</v>
      </c>
      <c r="E113">
        <v>30</v>
      </c>
      <c r="F113" t="s">
        <v>107</v>
      </c>
      <c r="G113" t="s">
        <v>104</v>
      </c>
      <c r="H113">
        <v>7</v>
      </c>
      <c r="I113">
        <v>0</v>
      </c>
      <c r="J113">
        <v>0.11</v>
      </c>
      <c r="K113">
        <v>2.01</v>
      </c>
      <c r="L113" t="s">
        <v>44</v>
      </c>
      <c r="M113">
        <f>H113+I113</f>
        <v>0</v>
      </c>
      <c r="N113">
        <f>IF(M113&gt;0,H113/M113,"")</f>
        <v>0</v>
      </c>
    </row>
    <row r="114" spans="1:14">
      <c r="A114">
        <v>3</v>
      </c>
      <c r="B114" t="s">
        <v>105</v>
      </c>
      <c r="C114">
        <v>2</v>
      </c>
      <c r="D114">
        <v>0.5</v>
      </c>
      <c r="E114">
        <v>30</v>
      </c>
      <c r="F114" t="s">
        <v>141</v>
      </c>
      <c r="G114" t="s">
        <v>28</v>
      </c>
      <c r="H114">
        <v>6</v>
      </c>
      <c r="I114">
        <v>0</v>
      </c>
      <c r="J114">
        <v>0.11</v>
      </c>
      <c r="K114">
        <v>2.01</v>
      </c>
      <c r="L114" t="s">
        <v>47</v>
      </c>
      <c r="M114">
        <f>H114+I114</f>
        <v>0</v>
      </c>
      <c r="N114">
        <f>IF(M114&gt;0,H114/M114,"")</f>
        <v>0</v>
      </c>
    </row>
    <row r="115" spans="1:14">
      <c r="A115">
        <v>4</v>
      </c>
      <c r="B115" t="s">
        <v>105</v>
      </c>
      <c r="C115">
        <v>2</v>
      </c>
      <c r="D115">
        <v>0.5</v>
      </c>
      <c r="E115">
        <v>30</v>
      </c>
      <c r="F115" t="s">
        <v>142</v>
      </c>
      <c r="G115" t="s">
        <v>66</v>
      </c>
      <c r="H115">
        <v>9</v>
      </c>
      <c r="I115">
        <v>0</v>
      </c>
      <c r="J115">
        <v>0.11</v>
      </c>
      <c r="K115">
        <v>2.02</v>
      </c>
      <c r="L115" t="s">
        <v>26</v>
      </c>
      <c r="M115">
        <f>H115+I115</f>
        <v>0</v>
      </c>
      <c r="N115">
        <f>IF(M115&gt;0,H115/M115,"")</f>
        <v>0</v>
      </c>
    </row>
    <row r="116" spans="1:14">
      <c r="A116">
        <v>5</v>
      </c>
      <c r="B116" t="s">
        <v>105</v>
      </c>
      <c r="C116">
        <v>2</v>
      </c>
      <c r="D116">
        <v>0.5</v>
      </c>
      <c r="E116">
        <v>30</v>
      </c>
      <c r="F116" t="s">
        <v>143</v>
      </c>
      <c r="G116" t="s">
        <v>97</v>
      </c>
      <c r="H116">
        <v>4</v>
      </c>
      <c r="I116">
        <v>0</v>
      </c>
      <c r="J116">
        <v>0.11</v>
      </c>
      <c r="K116">
        <v>2.02</v>
      </c>
      <c r="L116" t="s">
        <v>38</v>
      </c>
      <c r="M116">
        <f>H116+I116</f>
        <v>0</v>
      </c>
      <c r="N116">
        <f>IF(M116&gt;0,H116/M116,"")</f>
        <v>0</v>
      </c>
    </row>
    <row r="117" spans="1:14">
      <c r="A117">
        <v>1</v>
      </c>
      <c r="B117" t="s">
        <v>105</v>
      </c>
      <c r="C117">
        <v>2</v>
      </c>
      <c r="D117">
        <v>0.95</v>
      </c>
      <c r="E117">
        <v>100</v>
      </c>
      <c r="F117" t="s">
        <v>144</v>
      </c>
      <c r="G117" t="s">
        <v>121</v>
      </c>
      <c r="H117">
        <v>3</v>
      </c>
      <c r="I117">
        <v>0</v>
      </c>
      <c r="J117">
        <v>0.11</v>
      </c>
      <c r="K117">
        <v>2.01</v>
      </c>
      <c r="L117" t="s">
        <v>17</v>
      </c>
      <c r="M117">
        <f>H117+I117</f>
        <v>0</v>
      </c>
      <c r="N117">
        <f>IF(M117&gt;0,H117/M117,"")</f>
        <v>0</v>
      </c>
    </row>
    <row r="118" spans="1:14">
      <c r="A118">
        <v>2</v>
      </c>
      <c r="B118" t="s">
        <v>105</v>
      </c>
      <c r="C118">
        <v>2</v>
      </c>
      <c r="D118">
        <v>0.95</v>
      </c>
      <c r="E118">
        <v>100</v>
      </c>
      <c r="F118" t="s">
        <v>145</v>
      </c>
      <c r="G118" t="s">
        <v>97</v>
      </c>
      <c r="H118">
        <v>4</v>
      </c>
      <c r="I118">
        <v>0</v>
      </c>
      <c r="J118">
        <v>0.11</v>
      </c>
      <c r="K118">
        <v>2.02</v>
      </c>
      <c r="L118" t="s">
        <v>44</v>
      </c>
      <c r="M118">
        <f>H118+I118</f>
        <v>0</v>
      </c>
      <c r="N118">
        <f>IF(M118&gt;0,H118/M118,"")</f>
        <v>0</v>
      </c>
    </row>
    <row r="119" spans="1:14">
      <c r="A119">
        <v>3</v>
      </c>
      <c r="B119" t="s">
        <v>105</v>
      </c>
      <c r="C119">
        <v>2</v>
      </c>
      <c r="D119">
        <v>0.95</v>
      </c>
      <c r="E119">
        <v>100</v>
      </c>
      <c r="F119" t="s">
        <v>146</v>
      </c>
      <c r="G119" t="s">
        <v>16</v>
      </c>
      <c r="H119">
        <v>5</v>
      </c>
      <c r="I119">
        <v>0</v>
      </c>
      <c r="J119">
        <v>0.11</v>
      </c>
      <c r="K119">
        <v>2.03</v>
      </c>
      <c r="L119" t="s">
        <v>47</v>
      </c>
      <c r="M119">
        <f>H119+I119</f>
        <v>0</v>
      </c>
      <c r="N119">
        <f>IF(M119&gt;0,H119/M119,"")</f>
        <v>0</v>
      </c>
    </row>
    <row r="120" spans="1:14">
      <c r="A120">
        <v>4</v>
      </c>
      <c r="B120" t="s">
        <v>105</v>
      </c>
      <c r="C120">
        <v>2</v>
      </c>
      <c r="D120">
        <v>0.95</v>
      </c>
      <c r="E120">
        <v>100</v>
      </c>
      <c r="F120" t="s">
        <v>147</v>
      </c>
      <c r="G120" t="s">
        <v>16</v>
      </c>
      <c r="H120">
        <v>5</v>
      </c>
      <c r="I120">
        <v>0</v>
      </c>
      <c r="J120">
        <v>0.11</v>
      </c>
      <c r="K120">
        <v>2.01</v>
      </c>
      <c r="L120" t="s">
        <v>26</v>
      </c>
      <c r="M120">
        <f>H120+I120</f>
        <v>0</v>
      </c>
      <c r="N120">
        <f>IF(M120&gt;0,H120/M120,"")</f>
        <v>0</v>
      </c>
    </row>
    <row r="121" spans="1:14">
      <c r="A121">
        <v>5</v>
      </c>
      <c r="B121" t="s">
        <v>105</v>
      </c>
      <c r="C121">
        <v>2</v>
      </c>
      <c r="D121">
        <v>0.95</v>
      </c>
      <c r="E121">
        <v>100</v>
      </c>
      <c r="F121" t="s">
        <v>148</v>
      </c>
      <c r="G121" t="s">
        <v>121</v>
      </c>
      <c r="H121">
        <v>3</v>
      </c>
      <c r="I121">
        <v>0</v>
      </c>
      <c r="J121">
        <v>0.11</v>
      </c>
      <c r="K121">
        <v>2.07</v>
      </c>
      <c r="L121" t="s">
        <v>149</v>
      </c>
      <c r="M121">
        <f>H121+I121</f>
        <v>0</v>
      </c>
      <c r="N121">
        <f>IF(M121&gt;0,H121/M121,"")</f>
        <v>0</v>
      </c>
    </row>
    <row r="122" spans="1:14">
      <c r="A122">
        <v>1</v>
      </c>
      <c r="B122" t="s">
        <v>150</v>
      </c>
      <c r="C122">
        <v>0</v>
      </c>
      <c r="D122">
        <v>0.1</v>
      </c>
      <c r="E122">
        <v>10</v>
      </c>
      <c r="F122" t="s">
        <v>151</v>
      </c>
      <c r="G122" t="s">
        <v>97</v>
      </c>
      <c r="H122">
        <v>4</v>
      </c>
      <c r="I122">
        <v>0</v>
      </c>
      <c r="J122">
        <v>0.11</v>
      </c>
      <c r="K122">
        <v>2.01</v>
      </c>
      <c r="L122" t="s">
        <v>41</v>
      </c>
      <c r="M122">
        <f>H122+I122</f>
        <v>0</v>
      </c>
      <c r="N122">
        <f>IF(M122&gt;0,H122/M122,"")</f>
        <v>0</v>
      </c>
    </row>
    <row r="123" spans="1:14">
      <c r="A123">
        <v>2</v>
      </c>
      <c r="B123" t="s">
        <v>150</v>
      </c>
      <c r="C123">
        <v>0</v>
      </c>
      <c r="D123">
        <v>0.1</v>
      </c>
      <c r="E123">
        <v>10</v>
      </c>
      <c r="F123" t="s">
        <v>152</v>
      </c>
      <c r="G123" t="s">
        <v>104</v>
      </c>
      <c r="H123">
        <v>7</v>
      </c>
      <c r="I123">
        <v>0</v>
      </c>
      <c r="J123">
        <v>0.11</v>
      </c>
      <c r="K123">
        <v>2.02</v>
      </c>
      <c r="L123" t="s">
        <v>153</v>
      </c>
      <c r="M123">
        <f>H123+I123</f>
        <v>0</v>
      </c>
      <c r="N123">
        <f>IF(M123&gt;0,H123/M123,"")</f>
        <v>0</v>
      </c>
    </row>
    <row r="124" spans="1:14">
      <c r="A124">
        <v>3</v>
      </c>
      <c r="B124" t="s">
        <v>150</v>
      </c>
      <c r="C124">
        <v>0</v>
      </c>
      <c r="D124">
        <v>0.1</v>
      </c>
      <c r="E124">
        <v>10</v>
      </c>
      <c r="F124" t="s">
        <v>154</v>
      </c>
      <c r="G124" t="s">
        <v>28</v>
      </c>
      <c r="H124">
        <v>6</v>
      </c>
      <c r="I124">
        <v>0</v>
      </c>
      <c r="J124">
        <v>0.11</v>
      </c>
      <c r="K124">
        <v>2.01</v>
      </c>
      <c r="L124" t="s">
        <v>41</v>
      </c>
      <c r="M124">
        <f>H124+I124</f>
        <v>0</v>
      </c>
      <c r="N124">
        <f>IF(M124&gt;0,H124/M124,"")</f>
        <v>0</v>
      </c>
    </row>
    <row r="125" spans="1:14">
      <c r="A125">
        <v>4</v>
      </c>
      <c r="B125" t="s">
        <v>150</v>
      </c>
      <c r="C125">
        <v>0</v>
      </c>
      <c r="D125">
        <v>0.1</v>
      </c>
      <c r="E125">
        <v>10</v>
      </c>
      <c r="F125" t="s">
        <v>155</v>
      </c>
      <c r="G125" t="s">
        <v>115</v>
      </c>
      <c r="H125">
        <v>10</v>
      </c>
      <c r="I125">
        <v>0</v>
      </c>
      <c r="J125">
        <v>0.11</v>
      </c>
      <c r="K125">
        <v>2.03</v>
      </c>
      <c r="L125" t="s">
        <v>59</v>
      </c>
      <c r="M125">
        <f>H125+I125</f>
        <v>0</v>
      </c>
      <c r="N125">
        <f>IF(M125&gt;0,H125/M125,"")</f>
        <v>0</v>
      </c>
    </row>
    <row r="126" spans="1:14">
      <c r="A126">
        <v>5</v>
      </c>
      <c r="B126" t="s">
        <v>150</v>
      </c>
      <c r="C126">
        <v>0</v>
      </c>
      <c r="D126">
        <v>0.1</v>
      </c>
      <c r="E126">
        <v>10</v>
      </c>
      <c r="F126" t="s">
        <v>156</v>
      </c>
      <c r="G126" t="s">
        <v>97</v>
      </c>
      <c r="H126">
        <v>4</v>
      </c>
      <c r="I126">
        <v>0</v>
      </c>
      <c r="J126">
        <v>0.11</v>
      </c>
      <c r="K126">
        <v>2.02</v>
      </c>
      <c r="L126" t="s">
        <v>157</v>
      </c>
      <c r="M126">
        <f>H126+I126</f>
        <v>0</v>
      </c>
      <c r="N126">
        <f>IF(M126&gt;0,H126/M126,"")</f>
        <v>0</v>
      </c>
    </row>
    <row r="127" spans="1:14">
      <c r="A127">
        <v>1</v>
      </c>
      <c r="B127" t="s">
        <v>150</v>
      </c>
      <c r="C127">
        <v>0</v>
      </c>
      <c r="D127">
        <v>0.5</v>
      </c>
      <c r="E127">
        <v>30</v>
      </c>
      <c r="F127" t="s">
        <v>158</v>
      </c>
      <c r="G127" t="s">
        <v>97</v>
      </c>
      <c r="H127">
        <v>4</v>
      </c>
      <c r="I127">
        <v>0</v>
      </c>
      <c r="J127">
        <v>0.11</v>
      </c>
      <c r="K127">
        <v>2.02</v>
      </c>
      <c r="L127" t="s">
        <v>41</v>
      </c>
      <c r="M127">
        <f>H127+I127</f>
        <v>0</v>
      </c>
      <c r="N127">
        <f>IF(M127&gt;0,H127/M127,"")</f>
        <v>0</v>
      </c>
    </row>
    <row r="128" spans="1:14">
      <c r="A128">
        <v>2</v>
      </c>
      <c r="B128" t="s">
        <v>150</v>
      </c>
      <c r="C128">
        <v>0</v>
      </c>
      <c r="D128">
        <v>0.5</v>
      </c>
      <c r="E128">
        <v>30</v>
      </c>
      <c r="F128" t="s">
        <v>159</v>
      </c>
      <c r="G128" t="s">
        <v>104</v>
      </c>
      <c r="H128">
        <v>7</v>
      </c>
      <c r="I128">
        <v>0</v>
      </c>
      <c r="J128">
        <v>0.11</v>
      </c>
      <c r="K128">
        <v>2.03</v>
      </c>
      <c r="L128" t="s">
        <v>153</v>
      </c>
      <c r="M128">
        <f>H128+I128</f>
        <v>0</v>
      </c>
      <c r="N128">
        <f>IF(M128&gt;0,H128/M128,"")</f>
        <v>0</v>
      </c>
    </row>
    <row r="129" spans="1:14">
      <c r="A129">
        <v>3</v>
      </c>
      <c r="B129" t="s">
        <v>150</v>
      </c>
      <c r="C129">
        <v>0</v>
      </c>
      <c r="D129">
        <v>0.5</v>
      </c>
      <c r="E129">
        <v>30</v>
      </c>
      <c r="F129" t="s">
        <v>160</v>
      </c>
      <c r="G129" t="s">
        <v>104</v>
      </c>
      <c r="H129">
        <v>7</v>
      </c>
      <c r="I129">
        <v>0</v>
      </c>
      <c r="J129">
        <v>0.11</v>
      </c>
      <c r="K129">
        <v>2.02</v>
      </c>
      <c r="L129" t="s">
        <v>100</v>
      </c>
      <c r="M129">
        <f>H129+I129</f>
        <v>0</v>
      </c>
      <c r="N129">
        <f>IF(M129&gt;0,H129/M129,"")</f>
        <v>0</v>
      </c>
    </row>
    <row r="130" spans="1:14">
      <c r="A130">
        <v>4</v>
      </c>
      <c r="B130" t="s">
        <v>150</v>
      </c>
      <c r="C130">
        <v>0</v>
      </c>
      <c r="D130">
        <v>0.5</v>
      </c>
      <c r="E130">
        <v>30</v>
      </c>
      <c r="F130" t="s">
        <v>161</v>
      </c>
      <c r="G130" t="s">
        <v>115</v>
      </c>
      <c r="H130">
        <v>10</v>
      </c>
      <c r="I130">
        <v>0</v>
      </c>
      <c r="J130">
        <v>0.11</v>
      </c>
      <c r="K130">
        <v>2.02</v>
      </c>
      <c r="L130" t="s">
        <v>59</v>
      </c>
      <c r="M130">
        <f>H130+I130</f>
        <v>0</v>
      </c>
      <c r="N130">
        <f>IF(M130&gt;0,H130/M130,"")</f>
        <v>0</v>
      </c>
    </row>
    <row r="131" spans="1:14">
      <c r="A131">
        <v>5</v>
      </c>
      <c r="B131" t="s">
        <v>150</v>
      </c>
      <c r="C131">
        <v>0</v>
      </c>
      <c r="D131">
        <v>0.5</v>
      </c>
      <c r="E131">
        <v>30</v>
      </c>
      <c r="F131" t="s">
        <v>162</v>
      </c>
      <c r="G131" t="s">
        <v>97</v>
      </c>
      <c r="H131">
        <v>4</v>
      </c>
      <c r="I131">
        <v>0</v>
      </c>
      <c r="J131">
        <v>0.11</v>
      </c>
      <c r="K131">
        <v>2.04</v>
      </c>
      <c r="L131" t="s">
        <v>157</v>
      </c>
      <c r="M131">
        <f>H131+I131</f>
        <v>0</v>
      </c>
      <c r="N131">
        <f>IF(M131&gt;0,H131/M131,"")</f>
        <v>0</v>
      </c>
    </row>
    <row r="132" spans="1:14">
      <c r="A132">
        <v>1</v>
      </c>
      <c r="B132" t="s">
        <v>150</v>
      </c>
      <c r="C132">
        <v>0</v>
      </c>
      <c r="D132">
        <v>0.95</v>
      </c>
      <c r="E132">
        <v>100</v>
      </c>
      <c r="F132" t="s">
        <v>163</v>
      </c>
      <c r="G132" t="s">
        <v>97</v>
      </c>
      <c r="H132">
        <v>4</v>
      </c>
      <c r="I132">
        <v>0</v>
      </c>
      <c r="J132">
        <v>0.11</v>
      </c>
      <c r="K132">
        <v>2.01</v>
      </c>
      <c r="L132" t="s">
        <v>41</v>
      </c>
      <c r="M132">
        <f>H132+I132</f>
        <v>0</v>
      </c>
      <c r="N132">
        <f>IF(M132&gt;0,H132/M132,"")</f>
        <v>0</v>
      </c>
    </row>
    <row r="133" spans="1:14">
      <c r="A133">
        <v>2</v>
      </c>
      <c r="B133" t="s">
        <v>150</v>
      </c>
      <c r="C133">
        <v>0</v>
      </c>
      <c r="D133">
        <v>0.95</v>
      </c>
      <c r="E133">
        <v>100</v>
      </c>
      <c r="F133" t="s">
        <v>164</v>
      </c>
      <c r="G133" t="s">
        <v>104</v>
      </c>
      <c r="H133">
        <v>7</v>
      </c>
      <c r="I133">
        <v>0</v>
      </c>
      <c r="J133">
        <v>0.11</v>
      </c>
      <c r="K133">
        <v>2.02</v>
      </c>
      <c r="L133" t="s">
        <v>153</v>
      </c>
      <c r="M133">
        <f>H133+I133</f>
        <v>0</v>
      </c>
      <c r="N133">
        <f>IF(M133&gt;0,H133/M133,"")</f>
        <v>0</v>
      </c>
    </row>
    <row r="134" spans="1:14">
      <c r="A134">
        <v>3</v>
      </c>
      <c r="B134" t="s">
        <v>150</v>
      </c>
      <c r="C134">
        <v>0</v>
      </c>
      <c r="D134">
        <v>0.95</v>
      </c>
      <c r="E134">
        <v>100</v>
      </c>
      <c r="F134" t="s">
        <v>165</v>
      </c>
      <c r="G134" t="s">
        <v>16</v>
      </c>
      <c r="H134">
        <v>5</v>
      </c>
      <c r="I134">
        <v>0</v>
      </c>
      <c r="J134">
        <v>0.11</v>
      </c>
      <c r="K134">
        <v>2.01</v>
      </c>
      <c r="L134" t="s">
        <v>100</v>
      </c>
      <c r="M134">
        <f>H134+I134</f>
        <v>0</v>
      </c>
      <c r="N134">
        <f>IF(M134&gt;0,H134/M134,"")</f>
        <v>0</v>
      </c>
    </row>
    <row r="135" spans="1:14">
      <c r="A135">
        <v>4</v>
      </c>
      <c r="B135" t="s">
        <v>150</v>
      </c>
      <c r="C135">
        <v>0</v>
      </c>
      <c r="D135">
        <v>0.95</v>
      </c>
      <c r="E135">
        <v>100</v>
      </c>
      <c r="F135" t="s">
        <v>166</v>
      </c>
      <c r="G135" t="s">
        <v>66</v>
      </c>
      <c r="H135">
        <v>9</v>
      </c>
      <c r="I135">
        <v>0</v>
      </c>
      <c r="J135">
        <v>0.11</v>
      </c>
      <c r="K135">
        <v>2.05</v>
      </c>
      <c r="L135" t="s">
        <v>59</v>
      </c>
      <c r="M135">
        <f>H135+I135</f>
        <v>0</v>
      </c>
      <c r="N135">
        <f>IF(M135&gt;0,H135/M135,"")</f>
        <v>0</v>
      </c>
    </row>
    <row r="136" spans="1:14">
      <c r="A136">
        <v>5</v>
      </c>
      <c r="B136" t="s">
        <v>150</v>
      </c>
      <c r="C136">
        <v>0</v>
      </c>
      <c r="D136">
        <v>0.95</v>
      </c>
      <c r="E136">
        <v>100</v>
      </c>
      <c r="F136" t="s">
        <v>167</v>
      </c>
      <c r="G136" t="s">
        <v>121</v>
      </c>
      <c r="H136">
        <v>3</v>
      </c>
      <c r="I136">
        <v>0</v>
      </c>
      <c r="J136">
        <v>0.11</v>
      </c>
      <c r="K136">
        <v>2.01</v>
      </c>
      <c r="L136" t="s">
        <v>157</v>
      </c>
      <c r="M136">
        <f>H136+I136</f>
        <v>0</v>
      </c>
      <c r="N136">
        <f>IF(M136&gt;0,H136/M136,"")</f>
        <v>0</v>
      </c>
    </row>
    <row r="137" spans="1:14">
      <c r="A137">
        <v>1</v>
      </c>
      <c r="B137" t="s">
        <v>150</v>
      </c>
      <c r="C137">
        <v>0.5</v>
      </c>
      <c r="D137">
        <v>0.1</v>
      </c>
      <c r="E137">
        <v>10</v>
      </c>
      <c r="F137" t="s">
        <v>168</v>
      </c>
      <c r="G137" t="s">
        <v>97</v>
      </c>
      <c r="H137">
        <v>4</v>
      </c>
      <c r="I137">
        <v>0</v>
      </c>
      <c r="J137">
        <v>0.11</v>
      </c>
      <c r="K137">
        <v>2.01</v>
      </c>
      <c r="L137" t="s">
        <v>41</v>
      </c>
      <c r="M137">
        <f>H137+I137</f>
        <v>0</v>
      </c>
      <c r="N137">
        <f>IF(M137&gt;0,H137/M137,"")</f>
        <v>0</v>
      </c>
    </row>
    <row r="138" spans="1:14">
      <c r="A138">
        <v>2</v>
      </c>
      <c r="B138" t="s">
        <v>150</v>
      </c>
      <c r="C138">
        <v>0.5</v>
      </c>
      <c r="D138">
        <v>0.1</v>
      </c>
      <c r="E138">
        <v>10</v>
      </c>
      <c r="F138" t="s">
        <v>169</v>
      </c>
      <c r="G138" t="s">
        <v>104</v>
      </c>
      <c r="H138">
        <v>7</v>
      </c>
      <c r="I138">
        <v>0</v>
      </c>
      <c r="J138">
        <v>0.11</v>
      </c>
      <c r="K138">
        <v>2.02</v>
      </c>
      <c r="L138" t="s">
        <v>153</v>
      </c>
      <c r="M138">
        <f>H138+I138</f>
        <v>0</v>
      </c>
      <c r="N138">
        <f>IF(M138&gt;0,H138/M138,"")</f>
        <v>0</v>
      </c>
    </row>
    <row r="139" spans="1:14">
      <c r="A139">
        <v>3</v>
      </c>
      <c r="B139" t="s">
        <v>150</v>
      </c>
      <c r="C139">
        <v>0.5</v>
      </c>
      <c r="D139">
        <v>0.1</v>
      </c>
      <c r="E139">
        <v>10</v>
      </c>
      <c r="F139" t="s">
        <v>170</v>
      </c>
      <c r="G139" t="s">
        <v>104</v>
      </c>
      <c r="H139">
        <v>7</v>
      </c>
      <c r="I139">
        <v>0</v>
      </c>
      <c r="J139">
        <v>0.11</v>
      </c>
      <c r="K139">
        <v>2.02</v>
      </c>
      <c r="L139" t="s">
        <v>100</v>
      </c>
      <c r="M139">
        <f>H139+I139</f>
        <v>0</v>
      </c>
      <c r="N139">
        <f>IF(M139&gt;0,H139/M139,"")</f>
        <v>0</v>
      </c>
    </row>
    <row r="140" spans="1:14">
      <c r="A140">
        <v>4</v>
      </c>
      <c r="B140" t="s">
        <v>150</v>
      </c>
      <c r="C140">
        <v>0.5</v>
      </c>
      <c r="D140">
        <v>0.1</v>
      </c>
      <c r="E140">
        <v>10</v>
      </c>
      <c r="F140" t="s">
        <v>171</v>
      </c>
      <c r="G140" t="s">
        <v>115</v>
      </c>
      <c r="H140">
        <v>10</v>
      </c>
      <c r="I140">
        <v>0</v>
      </c>
      <c r="J140">
        <v>0.11</v>
      </c>
      <c r="K140">
        <v>2.01</v>
      </c>
      <c r="L140" t="s">
        <v>59</v>
      </c>
      <c r="M140">
        <f>H140+I140</f>
        <v>0</v>
      </c>
      <c r="N140">
        <f>IF(M140&gt;0,H140/M140,"")</f>
        <v>0</v>
      </c>
    </row>
    <row r="141" spans="1:14">
      <c r="A141">
        <v>5</v>
      </c>
      <c r="B141" t="s">
        <v>150</v>
      </c>
      <c r="C141">
        <v>0.5</v>
      </c>
      <c r="D141">
        <v>0.1</v>
      </c>
      <c r="E141">
        <v>10</v>
      </c>
      <c r="F141" t="s">
        <v>172</v>
      </c>
      <c r="G141" t="s">
        <v>97</v>
      </c>
      <c r="H141">
        <v>4</v>
      </c>
      <c r="I141">
        <v>0</v>
      </c>
      <c r="J141">
        <v>0.11</v>
      </c>
      <c r="K141">
        <v>2.05</v>
      </c>
      <c r="L141" t="s">
        <v>157</v>
      </c>
      <c r="M141">
        <f>H141+I141</f>
        <v>0</v>
      </c>
      <c r="N141">
        <f>IF(M141&gt;0,H141/M141,"")</f>
        <v>0</v>
      </c>
    </row>
    <row r="142" spans="1:14">
      <c r="A142">
        <v>1</v>
      </c>
      <c r="B142" t="s">
        <v>150</v>
      </c>
      <c r="C142">
        <v>0.5</v>
      </c>
      <c r="D142">
        <v>0.5</v>
      </c>
      <c r="E142">
        <v>30</v>
      </c>
      <c r="F142" t="s">
        <v>173</v>
      </c>
      <c r="G142" t="s">
        <v>174</v>
      </c>
      <c r="H142">
        <v>4</v>
      </c>
      <c r="I142">
        <v>0</v>
      </c>
      <c r="J142">
        <v>0.11</v>
      </c>
      <c r="K142">
        <v>2.02</v>
      </c>
      <c r="L142" t="s">
        <v>41</v>
      </c>
      <c r="M142">
        <f>H142+I142</f>
        <v>0</v>
      </c>
      <c r="N142">
        <f>IF(M142&gt;0,H142/M142,"")</f>
        <v>0</v>
      </c>
    </row>
    <row r="143" spans="1:14">
      <c r="A143">
        <v>2</v>
      </c>
      <c r="B143" t="s">
        <v>150</v>
      </c>
      <c r="C143">
        <v>0.5</v>
      </c>
      <c r="D143">
        <v>0.5</v>
      </c>
      <c r="E143">
        <v>30</v>
      </c>
      <c r="F143" t="s">
        <v>175</v>
      </c>
      <c r="G143" t="s">
        <v>176</v>
      </c>
      <c r="H143">
        <v>7</v>
      </c>
      <c r="I143">
        <v>0</v>
      </c>
      <c r="J143">
        <v>0.11</v>
      </c>
      <c r="K143">
        <v>2.05</v>
      </c>
      <c r="L143" t="s">
        <v>153</v>
      </c>
      <c r="M143">
        <f>H143+I143</f>
        <v>0</v>
      </c>
      <c r="N143">
        <f>IF(M143&gt;0,H143/M143,"")</f>
        <v>0</v>
      </c>
    </row>
    <row r="144" spans="1:14">
      <c r="A144">
        <v>3</v>
      </c>
      <c r="B144" t="s">
        <v>150</v>
      </c>
      <c r="C144">
        <v>0.5</v>
      </c>
      <c r="D144">
        <v>0.5</v>
      </c>
      <c r="E144">
        <v>30</v>
      </c>
      <c r="F144" t="s">
        <v>177</v>
      </c>
      <c r="G144" t="s">
        <v>178</v>
      </c>
      <c r="H144">
        <v>5</v>
      </c>
      <c r="I144">
        <v>0</v>
      </c>
      <c r="J144">
        <v>0.11</v>
      </c>
      <c r="K144">
        <v>2.01</v>
      </c>
      <c r="L144" t="s">
        <v>100</v>
      </c>
      <c r="M144">
        <f>H144+I144</f>
        <v>0</v>
      </c>
      <c r="N144">
        <f>IF(M144&gt;0,H144/M144,"")</f>
        <v>0</v>
      </c>
    </row>
    <row r="145" spans="1:14">
      <c r="A145">
        <v>4</v>
      </c>
      <c r="B145" t="s">
        <v>150</v>
      </c>
      <c r="C145">
        <v>0.5</v>
      </c>
      <c r="D145">
        <v>0.5</v>
      </c>
      <c r="E145">
        <v>30</v>
      </c>
      <c r="F145" t="s">
        <v>179</v>
      </c>
      <c r="G145" t="s">
        <v>180</v>
      </c>
      <c r="H145">
        <v>9</v>
      </c>
      <c r="I145">
        <v>0</v>
      </c>
      <c r="J145">
        <v>0.11</v>
      </c>
      <c r="K145">
        <v>2.02</v>
      </c>
      <c r="L145" t="s">
        <v>59</v>
      </c>
      <c r="M145">
        <f>H145+I145</f>
        <v>0</v>
      </c>
      <c r="N145">
        <f>IF(M145&gt;0,H145/M145,"")</f>
        <v>0</v>
      </c>
    </row>
    <row r="146" spans="1:14">
      <c r="A146">
        <v>5</v>
      </c>
      <c r="B146" t="s">
        <v>150</v>
      </c>
      <c r="C146">
        <v>0.5</v>
      </c>
      <c r="D146">
        <v>0.5</v>
      </c>
      <c r="E146">
        <v>30</v>
      </c>
      <c r="F146" t="s">
        <v>181</v>
      </c>
      <c r="G146" t="s">
        <v>182</v>
      </c>
      <c r="H146">
        <v>3</v>
      </c>
      <c r="I146">
        <v>0</v>
      </c>
      <c r="J146">
        <v>0.11</v>
      </c>
      <c r="K146">
        <v>2.01</v>
      </c>
      <c r="L146" t="s">
        <v>157</v>
      </c>
      <c r="M146">
        <f>H146+I146</f>
        <v>0</v>
      </c>
      <c r="N146">
        <f>IF(M146&gt;0,H146/M146,"")</f>
        <v>0</v>
      </c>
    </row>
    <row r="147" spans="1:14">
      <c r="A147">
        <v>1</v>
      </c>
      <c r="B147" t="s">
        <v>150</v>
      </c>
      <c r="C147">
        <v>0.5</v>
      </c>
      <c r="D147">
        <v>0.95</v>
      </c>
      <c r="E147">
        <v>100</v>
      </c>
      <c r="F147" t="s">
        <v>183</v>
      </c>
      <c r="G147" t="s">
        <v>184</v>
      </c>
      <c r="H147">
        <v>4</v>
      </c>
      <c r="I147">
        <v>0</v>
      </c>
      <c r="J147">
        <v>0.11</v>
      </c>
      <c r="K147">
        <v>2.03</v>
      </c>
      <c r="L147" t="s">
        <v>17</v>
      </c>
      <c r="M147">
        <f>H147+I147</f>
        <v>0</v>
      </c>
      <c r="N147">
        <f>IF(M147&gt;0,H147/M147,"")</f>
        <v>0</v>
      </c>
    </row>
    <row r="148" spans="1:14">
      <c r="A148">
        <v>2</v>
      </c>
      <c r="B148" t="s">
        <v>150</v>
      </c>
      <c r="C148">
        <v>0.5</v>
      </c>
      <c r="D148">
        <v>0.95</v>
      </c>
      <c r="E148">
        <v>100</v>
      </c>
      <c r="F148" t="s">
        <v>185</v>
      </c>
      <c r="G148" t="s">
        <v>186</v>
      </c>
      <c r="H148">
        <v>7</v>
      </c>
      <c r="I148">
        <v>0</v>
      </c>
      <c r="J148">
        <v>0.11</v>
      </c>
      <c r="K148">
        <v>2.01</v>
      </c>
      <c r="L148" t="s">
        <v>44</v>
      </c>
      <c r="M148">
        <f>H148+I148</f>
        <v>0</v>
      </c>
      <c r="N148">
        <f>IF(M148&gt;0,H148/M148,"")</f>
        <v>0</v>
      </c>
    </row>
    <row r="149" spans="1:14">
      <c r="A149">
        <v>3</v>
      </c>
      <c r="B149" t="s">
        <v>150</v>
      </c>
      <c r="C149">
        <v>0.5</v>
      </c>
      <c r="D149">
        <v>0.95</v>
      </c>
      <c r="E149">
        <v>100</v>
      </c>
      <c r="F149" t="s">
        <v>187</v>
      </c>
      <c r="G149" t="s">
        <v>188</v>
      </c>
      <c r="H149">
        <v>5</v>
      </c>
      <c r="I149">
        <v>0</v>
      </c>
      <c r="J149">
        <v>0.11</v>
      </c>
      <c r="K149">
        <v>2.02</v>
      </c>
      <c r="L149" t="s">
        <v>47</v>
      </c>
      <c r="M149">
        <f>H149+I149</f>
        <v>0</v>
      </c>
      <c r="N149">
        <f>IF(M149&gt;0,H149/M149,"")</f>
        <v>0</v>
      </c>
    </row>
    <row r="150" spans="1:14">
      <c r="A150">
        <v>4</v>
      </c>
      <c r="B150" t="s">
        <v>150</v>
      </c>
      <c r="C150">
        <v>0.5</v>
      </c>
      <c r="D150">
        <v>0.95</v>
      </c>
      <c r="E150">
        <v>100</v>
      </c>
      <c r="F150" t="s">
        <v>189</v>
      </c>
      <c r="G150" t="s">
        <v>190</v>
      </c>
      <c r="H150">
        <v>8</v>
      </c>
      <c r="I150">
        <v>0</v>
      </c>
      <c r="J150">
        <v>0.11</v>
      </c>
      <c r="K150">
        <v>2.02</v>
      </c>
      <c r="L150" t="s">
        <v>26</v>
      </c>
      <c r="M150">
        <f>H150+I150</f>
        <v>0</v>
      </c>
      <c r="N150">
        <f>IF(M150&gt;0,H150/M150,"")</f>
        <v>0</v>
      </c>
    </row>
    <row r="151" spans="1:14">
      <c r="A151">
        <v>5</v>
      </c>
      <c r="B151" t="s">
        <v>150</v>
      </c>
      <c r="C151">
        <v>0.5</v>
      </c>
      <c r="D151">
        <v>0.95</v>
      </c>
      <c r="E151">
        <v>100</v>
      </c>
      <c r="F151" t="s">
        <v>191</v>
      </c>
      <c r="G151" t="s">
        <v>192</v>
      </c>
      <c r="H151">
        <v>3</v>
      </c>
      <c r="I151">
        <v>0</v>
      </c>
      <c r="J151">
        <v>0.11</v>
      </c>
      <c r="K151">
        <v>2</v>
      </c>
      <c r="L151" t="s">
        <v>29</v>
      </c>
      <c r="M151">
        <f>H151+I151</f>
        <v>0</v>
      </c>
      <c r="N151">
        <f>IF(M151&gt;0,H151/M151,"")</f>
        <v>0</v>
      </c>
    </row>
    <row r="152" spans="1:14">
      <c r="A152">
        <v>1</v>
      </c>
      <c r="B152" t="s">
        <v>150</v>
      </c>
      <c r="C152">
        <v>1</v>
      </c>
      <c r="D152">
        <v>0.1</v>
      </c>
      <c r="E152">
        <v>10</v>
      </c>
      <c r="F152" t="s">
        <v>193</v>
      </c>
      <c r="G152" t="s">
        <v>97</v>
      </c>
      <c r="H152">
        <v>4</v>
      </c>
      <c r="I152">
        <v>0</v>
      </c>
      <c r="J152">
        <v>0.11</v>
      </c>
      <c r="K152">
        <v>2.02</v>
      </c>
      <c r="L152" t="s">
        <v>41</v>
      </c>
      <c r="M152">
        <f>H152+I152</f>
        <v>0</v>
      </c>
      <c r="N152">
        <f>IF(M152&gt;0,H152/M152,"")</f>
        <v>0</v>
      </c>
    </row>
    <row r="153" spans="1:14">
      <c r="A153">
        <v>2</v>
      </c>
      <c r="B153" t="s">
        <v>150</v>
      </c>
      <c r="C153">
        <v>1</v>
      </c>
      <c r="D153">
        <v>0.1</v>
      </c>
      <c r="E153">
        <v>10</v>
      </c>
      <c r="F153" t="s">
        <v>159</v>
      </c>
      <c r="G153" t="s">
        <v>104</v>
      </c>
      <c r="H153">
        <v>7</v>
      </c>
      <c r="I153">
        <v>0</v>
      </c>
      <c r="J153">
        <v>0.11</v>
      </c>
      <c r="K153">
        <v>2.02</v>
      </c>
      <c r="L153" t="s">
        <v>153</v>
      </c>
      <c r="M153">
        <f>H153+I153</f>
        <v>0</v>
      </c>
      <c r="N153">
        <f>IF(M153&gt;0,H153/M153,"")</f>
        <v>0</v>
      </c>
    </row>
    <row r="154" spans="1:14">
      <c r="A154">
        <v>3</v>
      </c>
      <c r="B154" t="s">
        <v>150</v>
      </c>
      <c r="C154">
        <v>1</v>
      </c>
      <c r="D154">
        <v>0.1</v>
      </c>
      <c r="E154">
        <v>10</v>
      </c>
      <c r="F154" t="s">
        <v>194</v>
      </c>
      <c r="G154" t="s">
        <v>104</v>
      </c>
      <c r="H154">
        <v>7</v>
      </c>
      <c r="I154">
        <v>0</v>
      </c>
      <c r="J154">
        <v>0.11</v>
      </c>
      <c r="K154">
        <v>2.02</v>
      </c>
      <c r="L154" t="s">
        <v>100</v>
      </c>
      <c r="M154">
        <f>H154+I154</f>
        <v>0</v>
      </c>
      <c r="N154">
        <f>IF(M154&gt;0,H154/M154,"")</f>
        <v>0</v>
      </c>
    </row>
    <row r="155" spans="1:14">
      <c r="A155">
        <v>4</v>
      </c>
      <c r="B155" t="s">
        <v>150</v>
      </c>
      <c r="C155">
        <v>1</v>
      </c>
      <c r="D155">
        <v>0.1</v>
      </c>
      <c r="E155">
        <v>10</v>
      </c>
      <c r="F155" t="s">
        <v>195</v>
      </c>
      <c r="G155" t="s">
        <v>115</v>
      </c>
      <c r="H155">
        <v>10</v>
      </c>
      <c r="I155">
        <v>0</v>
      </c>
      <c r="J155">
        <v>0.11</v>
      </c>
      <c r="K155">
        <v>2.02</v>
      </c>
      <c r="L155" t="s">
        <v>59</v>
      </c>
      <c r="M155">
        <f>H155+I155</f>
        <v>0</v>
      </c>
      <c r="N155">
        <f>IF(M155&gt;0,H155/M155,"")</f>
        <v>0</v>
      </c>
    </row>
    <row r="156" spans="1:14">
      <c r="A156">
        <v>5</v>
      </c>
      <c r="B156" t="s">
        <v>150</v>
      </c>
      <c r="C156">
        <v>1</v>
      </c>
      <c r="D156">
        <v>0.1</v>
      </c>
      <c r="E156">
        <v>10</v>
      </c>
      <c r="F156" t="s">
        <v>196</v>
      </c>
      <c r="G156" t="s">
        <v>97</v>
      </c>
      <c r="H156">
        <v>4</v>
      </c>
      <c r="I156">
        <v>0</v>
      </c>
      <c r="J156">
        <v>0.11</v>
      </c>
      <c r="K156">
        <v>2.01</v>
      </c>
      <c r="L156" t="s">
        <v>157</v>
      </c>
      <c r="M156">
        <f>H156+I156</f>
        <v>0</v>
      </c>
      <c r="N156">
        <f>IF(M156&gt;0,H156/M156,"")</f>
        <v>0</v>
      </c>
    </row>
    <row r="157" spans="1:14">
      <c r="A157">
        <v>1</v>
      </c>
      <c r="B157" t="s">
        <v>150</v>
      </c>
      <c r="C157">
        <v>1</v>
      </c>
      <c r="D157">
        <v>0.5</v>
      </c>
      <c r="E157">
        <v>30</v>
      </c>
      <c r="F157" t="s">
        <v>197</v>
      </c>
      <c r="G157" t="s">
        <v>97</v>
      </c>
      <c r="H157">
        <v>4</v>
      </c>
      <c r="I157">
        <v>0</v>
      </c>
      <c r="J157">
        <v>0.11</v>
      </c>
      <c r="K157">
        <v>2.03</v>
      </c>
      <c r="L157" t="s">
        <v>17</v>
      </c>
      <c r="M157">
        <f>H157+I157</f>
        <v>0</v>
      </c>
      <c r="N157">
        <f>IF(M157&gt;0,H157/M157,"")</f>
        <v>0</v>
      </c>
    </row>
    <row r="158" spans="1:14">
      <c r="A158">
        <v>2</v>
      </c>
      <c r="B158" t="s">
        <v>150</v>
      </c>
      <c r="C158">
        <v>1</v>
      </c>
      <c r="D158">
        <v>0.5</v>
      </c>
      <c r="E158">
        <v>30</v>
      </c>
      <c r="F158" t="s">
        <v>198</v>
      </c>
      <c r="G158" t="s">
        <v>104</v>
      </c>
      <c r="H158">
        <v>7</v>
      </c>
      <c r="I158">
        <v>0</v>
      </c>
      <c r="J158">
        <v>0.11</v>
      </c>
      <c r="K158">
        <v>2.03</v>
      </c>
      <c r="L158" t="s">
        <v>44</v>
      </c>
      <c r="M158">
        <f>H158+I158</f>
        <v>0</v>
      </c>
      <c r="N158">
        <f>IF(M158&gt;0,H158/M158,"")</f>
        <v>0</v>
      </c>
    </row>
    <row r="159" spans="1:14">
      <c r="A159">
        <v>3</v>
      </c>
      <c r="B159" t="s">
        <v>150</v>
      </c>
      <c r="C159">
        <v>1</v>
      </c>
      <c r="D159">
        <v>0.5</v>
      </c>
      <c r="E159">
        <v>30</v>
      </c>
      <c r="F159" t="s">
        <v>199</v>
      </c>
      <c r="G159" t="s">
        <v>16</v>
      </c>
      <c r="H159">
        <v>5</v>
      </c>
      <c r="I159">
        <v>0</v>
      </c>
      <c r="J159">
        <v>0.11</v>
      </c>
      <c r="K159">
        <v>2.03</v>
      </c>
      <c r="L159" t="s">
        <v>17</v>
      </c>
      <c r="M159">
        <f>H159+I159</f>
        <v>0</v>
      </c>
      <c r="N159">
        <f>IF(M159&gt;0,H159/M159,"")</f>
        <v>0</v>
      </c>
    </row>
    <row r="160" spans="1:14">
      <c r="A160">
        <v>4</v>
      </c>
      <c r="B160" t="s">
        <v>150</v>
      </c>
      <c r="C160">
        <v>1</v>
      </c>
      <c r="D160">
        <v>0.5</v>
      </c>
      <c r="E160">
        <v>30</v>
      </c>
      <c r="F160" t="s">
        <v>200</v>
      </c>
      <c r="G160" t="s">
        <v>66</v>
      </c>
      <c r="H160">
        <v>9</v>
      </c>
      <c r="I160">
        <v>0</v>
      </c>
      <c r="J160">
        <v>0.11</v>
      </c>
      <c r="K160">
        <v>2.01</v>
      </c>
      <c r="L160" t="s">
        <v>26</v>
      </c>
      <c r="M160">
        <f>H160+I160</f>
        <v>0</v>
      </c>
      <c r="N160">
        <f>IF(M160&gt;0,H160/M160,"")</f>
        <v>0</v>
      </c>
    </row>
    <row r="161" spans="1:14">
      <c r="A161">
        <v>5</v>
      </c>
      <c r="B161" t="s">
        <v>150</v>
      </c>
      <c r="C161">
        <v>1</v>
      </c>
      <c r="D161">
        <v>0.5</v>
      </c>
      <c r="E161">
        <v>30</v>
      </c>
      <c r="F161" t="s">
        <v>201</v>
      </c>
      <c r="G161" t="s">
        <v>97</v>
      </c>
      <c r="H161">
        <v>4</v>
      </c>
      <c r="I161">
        <v>0</v>
      </c>
      <c r="J161">
        <v>0.11</v>
      </c>
      <c r="K161">
        <v>2.02</v>
      </c>
      <c r="L161" t="s">
        <v>29</v>
      </c>
      <c r="M161">
        <f>H161+I161</f>
        <v>0</v>
      </c>
      <c r="N161">
        <f>IF(M161&gt;0,H161/M161,"")</f>
        <v>0</v>
      </c>
    </row>
    <row r="162" spans="1:14">
      <c r="A162">
        <v>1</v>
      </c>
      <c r="B162" t="s">
        <v>150</v>
      </c>
      <c r="C162">
        <v>1</v>
      </c>
      <c r="D162">
        <v>0.95</v>
      </c>
      <c r="E162">
        <v>100</v>
      </c>
      <c r="F162" t="s">
        <v>202</v>
      </c>
      <c r="G162" t="s">
        <v>97</v>
      </c>
      <c r="H162">
        <v>4</v>
      </c>
      <c r="I162">
        <v>0</v>
      </c>
      <c r="J162">
        <v>0.11</v>
      </c>
      <c r="K162">
        <v>2.04</v>
      </c>
      <c r="L162" t="s">
        <v>17</v>
      </c>
      <c r="M162">
        <f>H162+I162</f>
        <v>0</v>
      </c>
      <c r="N162">
        <f>IF(M162&gt;0,H162/M162,"")</f>
        <v>0</v>
      </c>
    </row>
    <row r="163" spans="1:14">
      <c r="A163">
        <v>2</v>
      </c>
      <c r="B163" t="s">
        <v>150</v>
      </c>
      <c r="C163">
        <v>1</v>
      </c>
      <c r="D163">
        <v>0.95</v>
      </c>
      <c r="E163">
        <v>100</v>
      </c>
      <c r="F163" t="s">
        <v>203</v>
      </c>
      <c r="G163" t="s">
        <v>104</v>
      </c>
      <c r="H163">
        <v>7</v>
      </c>
      <c r="I163">
        <v>0</v>
      </c>
      <c r="J163">
        <v>0.11</v>
      </c>
      <c r="K163">
        <v>2.04</v>
      </c>
      <c r="L163" t="s">
        <v>44</v>
      </c>
      <c r="M163">
        <f>H163+I163</f>
        <v>0</v>
      </c>
      <c r="N163">
        <f>IF(M163&gt;0,H163/M163,"")</f>
        <v>0</v>
      </c>
    </row>
    <row r="164" spans="1:14">
      <c r="A164">
        <v>3</v>
      </c>
      <c r="B164" t="s">
        <v>150</v>
      </c>
      <c r="C164">
        <v>1</v>
      </c>
      <c r="D164">
        <v>0.95</v>
      </c>
      <c r="E164">
        <v>100</v>
      </c>
      <c r="F164" t="s">
        <v>204</v>
      </c>
      <c r="G164" t="s">
        <v>28</v>
      </c>
      <c r="H164">
        <v>6</v>
      </c>
      <c r="I164">
        <v>0</v>
      </c>
      <c r="J164">
        <v>0.11</v>
      </c>
      <c r="K164">
        <v>2.02</v>
      </c>
      <c r="L164" t="s">
        <v>47</v>
      </c>
      <c r="M164">
        <f>H164+I164</f>
        <v>0</v>
      </c>
      <c r="N164">
        <f>IF(M164&gt;0,H164/M164,"")</f>
        <v>0</v>
      </c>
    </row>
    <row r="165" spans="1:14">
      <c r="A165">
        <v>4</v>
      </c>
      <c r="B165" t="s">
        <v>150</v>
      </c>
      <c r="C165">
        <v>1</v>
      </c>
      <c r="D165">
        <v>0.95</v>
      </c>
      <c r="E165">
        <v>100</v>
      </c>
      <c r="F165" t="s">
        <v>205</v>
      </c>
      <c r="G165" t="s">
        <v>66</v>
      </c>
      <c r="H165">
        <v>9</v>
      </c>
      <c r="I165">
        <v>0</v>
      </c>
      <c r="J165">
        <v>0.12</v>
      </c>
      <c r="K165">
        <v>2.02</v>
      </c>
      <c r="L165" t="s">
        <v>26</v>
      </c>
      <c r="M165">
        <f>H165+I165</f>
        <v>0</v>
      </c>
      <c r="N165">
        <f>IF(M165&gt;0,H165/M165,"")</f>
        <v>0</v>
      </c>
    </row>
    <row r="166" spans="1:14">
      <c r="A166">
        <v>5</v>
      </c>
      <c r="B166" t="s">
        <v>150</v>
      </c>
      <c r="C166">
        <v>1</v>
      </c>
      <c r="D166">
        <v>0.95</v>
      </c>
      <c r="E166">
        <v>100</v>
      </c>
      <c r="F166" t="s">
        <v>206</v>
      </c>
      <c r="G166" t="s">
        <v>97</v>
      </c>
      <c r="H166">
        <v>4</v>
      </c>
      <c r="I166">
        <v>0</v>
      </c>
      <c r="J166">
        <v>0.11</v>
      </c>
      <c r="K166">
        <v>2.04</v>
      </c>
      <c r="L166" t="s">
        <v>207</v>
      </c>
      <c r="M166">
        <f>H166+I166</f>
        <v>0</v>
      </c>
      <c r="N166">
        <f>IF(M166&gt;0,H166/M166,"")</f>
        <v>0</v>
      </c>
    </row>
    <row r="167" spans="1:14">
      <c r="A167">
        <v>1</v>
      </c>
      <c r="B167" t="s">
        <v>150</v>
      </c>
      <c r="C167">
        <v>2</v>
      </c>
      <c r="D167">
        <v>0.1</v>
      </c>
      <c r="E167">
        <v>10</v>
      </c>
      <c r="F167" t="s">
        <v>208</v>
      </c>
      <c r="G167" t="s">
        <v>97</v>
      </c>
      <c r="H167">
        <v>4</v>
      </c>
      <c r="I167">
        <v>0</v>
      </c>
      <c r="J167">
        <v>0.11</v>
      </c>
      <c r="K167">
        <v>2.03</v>
      </c>
      <c r="L167" t="s">
        <v>41</v>
      </c>
      <c r="M167">
        <f>H167+I167</f>
        <v>0</v>
      </c>
      <c r="N167">
        <f>IF(M167&gt;0,H167/M167,"")</f>
        <v>0</v>
      </c>
    </row>
    <row r="168" spans="1:14">
      <c r="A168">
        <v>2</v>
      </c>
      <c r="B168" t="s">
        <v>150</v>
      </c>
      <c r="C168">
        <v>2</v>
      </c>
      <c r="D168">
        <v>0.1</v>
      </c>
      <c r="E168">
        <v>10</v>
      </c>
      <c r="F168" t="s">
        <v>209</v>
      </c>
      <c r="G168" t="s">
        <v>104</v>
      </c>
      <c r="H168">
        <v>7</v>
      </c>
      <c r="I168">
        <v>0</v>
      </c>
      <c r="J168">
        <v>0.11</v>
      </c>
      <c r="K168">
        <v>2.05</v>
      </c>
      <c r="L168" t="s">
        <v>153</v>
      </c>
      <c r="M168">
        <f>H168+I168</f>
        <v>0</v>
      </c>
      <c r="N168">
        <f>IF(M168&gt;0,H168/M168,"")</f>
        <v>0</v>
      </c>
    </row>
    <row r="169" spans="1:14">
      <c r="A169">
        <v>3</v>
      </c>
      <c r="B169" t="s">
        <v>150</v>
      </c>
      <c r="C169">
        <v>2</v>
      </c>
      <c r="D169">
        <v>0.1</v>
      </c>
      <c r="E169">
        <v>10</v>
      </c>
      <c r="F169" t="s">
        <v>210</v>
      </c>
      <c r="G169" t="s">
        <v>104</v>
      </c>
      <c r="H169">
        <v>7</v>
      </c>
      <c r="I169">
        <v>0</v>
      </c>
      <c r="J169">
        <v>0.11</v>
      </c>
      <c r="K169">
        <v>2.02</v>
      </c>
      <c r="L169" t="s">
        <v>100</v>
      </c>
      <c r="M169">
        <f>H169+I169</f>
        <v>0</v>
      </c>
      <c r="N169">
        <f>IF(M169&gt;0,H169/M169,"")</f>
        <v>0</v>
      </c>
    </row>
    <row r="170" spans="1:14">
      <c r="A170">
        <v>4</v>
      </c>
      <c r="B170" t="s">
        <v>150</v>
      </c>
      <c r="C170">
        <v>2</v>
      </c>
      <c r="D170">
        <v>0.1</v>
      </c>
      <c r="E170">
        <v>10</v>
      </c>
      <c r="F170" t="s">
        <v>211</v>
      </c>
      <c r="G170" t="s">
        <v>115</v>
      </c>
      <c r="H170">
        <v>10</v>
      </c>
      <c r="I170">
        <v>0</v>
      </c>
      <c r="J170">
        <v>0.11</v>
      </c>
      <c r="K170">
        <v>2.04</v>
      </c>
      <c r="L170" t="s">
        <v>59</v>
      </c>
      <c r="M170">
        <f>H170+I170</f>
        <v>0</v>
      </c>
      <c r="N170">
        <f>IF(M170&gt;0,H170/M170,"")</f>
        <v>0</v>
      </c>
    </row>
    <row r="171" spans="1:14">
      <c r="A171">
        <v>5</v>
      </c>
      <c r="B171" t="s">
        <v>150</v>
      </c>
      <c r="C171">
        <v>2</v>
      </c>
      <c r="D171">
        <v>0.1</v>
      </c>
      <c r="E171">
        <v>10</v>
      </c>
      <c r="F171" t="s">
        <v>212</v>
      </c>
      <c r="G171" t="s">
        <v>97</v>
      </c>
      <c r="H171">
        <v>4</v>
      </c>
      <c r="I171">
        <v>0</v>
      </c>
      <c r="J171">
        <v>0.11</v>
      </c>
      <c r="K171">
        <v>2.06</v>
      </c>
      <c r="L171" t="s">
        <v>29</v>
      </c>
      <c r="M171">
        <f>H171+I171</f>
        <v>0</v>
      </c>
      <c r="N171">
        <f>IF(M171&gt;0,H171/M171,"")</f>
        <v>0</v>
      </c>
    </row>
    <row r="172" spans="1:14">
      <c r="A172">
        <v>1</v>
      </c>
      <c r="B172" t="s">
        <v>150</v>
      </c>
      <c r="C172">
        <v>2</v>
      </c>
      <c r="D172">
        <v>0.5</v>
      </c>
      <c r="E172">
        <v>30</v>
      </c>
      <c r="F172" t="s">
        <v>213</v>
      </c>
      <c r="G172" t="s">
        <v>174</v>
      </c>
      <c r="H172">
        <v>4</v>
      </c>
      <c r="I172">
        <v>0</v>
      </c>
      <c r="J172">
        <v>0.11</v>
      </c>
      <c r="K172">
        <v>2.02</v>
      </c>
      <c r="L172" t="s">
        <v>214</v>
      </c>
      <c r="M172">
        <f>H172+I172</f>
        <v>0</v>
      </c>
      <c r="N172">
        <f>IF(M172&gt;0,H172/M172,"")</f>
        <v>0</v>
      </c>
    </row>
    <row r="173" spans="1:14">
      <c r="A173">
        <v>2</v>
      </c>
      <c r="B173" t="s">
        <v>150</v>
      </c>
      <c r="C173">
        <v>2</v>
      </c>
      <c r="D173">
        <v>0.5</v>
      </c>
      <c r="E173">
        <v>30</v>
      </c>
      <c r="F173" t="s">
        <v>215</v>
      </c>
      <c r="G173" t="s">
        <v>104</v>
      </c>
      <c r="H173">
        <v>7</v>
      </c>
      <c r="I173">
        <v>0</v>
      </c>
      <c r="J173">
        <v>0.11</v>
      </c>
      <c r="K173">
        <v>2.02</v>
      </c>
      <c r="L173" t="s">
        <v>44</v>
      </c>
      <c r="M173">
        <f>H173+I173</f>
        <v>0</v>
      </c>
      <c r="N173">
        <f>IF(M173&gt;0,H173/M173,"")</f>
        <v>0</v>
      </c>
    </row>
    <row r="174" spans="1:14">
      <c r="A174">
        <v>3</v>
      </c>
      <c r="B174" t="s">
        <v>150</v>
      </c>
      <c r="C174">
        <v>2</v>
      </c>
      <c r="D174">
        <v>0.5</v>
      </c>
      <c r="E174">
        <v>30</v>
      </c>
      <c r="F174" t="s">
        <v>216</v>
      </c>
      <c r="G174" t="s">
        <v>16</v>
      </c>
      <c r="H174">
        <v>5</v>
      </c>
      <c r="I174">
        <v>0</v>
      </c>
      <c r="J174">
        <v>0.12</v>
      </c>
      <c r="K174">
        <v>2.01</v>
      </c>
      <c r="L174" t="s">
        <v>47</v>
      </c>
      <c r="M174">
        <f>H174+I174</f>
        <v>0</v>
      </c>
      <c r="N174">
        <f>IF(M174&gt;0,H174/M174,"")</f>
        <v>0</v>
      </c>
    </row>
    <row r="175" spans="1:14">
      <c r="A175">
        <v>4</v>
      </c>
      <c r="B175" t="s">
        <v>150</v>
      </c>
      <c r="C175">
        <v>2</v>
      </c>
      <c r="D175">
        <v>0.5</v>
      </c>
      <c r="E175">
        <v>30</v>
      </c>
      <c r="F175" t="s">
        <v>217</v>
      </c>
      <c r="G175" t="s">
        <v>66</v>
      </c>
      <c r="H175">
        <v>9</v>
      </c>
      <c r="I175">
        <v>0</v>
      </c>
      <c r="J175">
        <v>0.11</v>
      </c>
      <c r="K175">
        <v>2.03</v>
      </c>
      <c r="L175" t="s">
        <v>26</v>
      </c>
      <c r="M175">
        <f>H175+I175</f>
        <v>0</v>
      </c>
      <c r="N175">
        <f>IF(M175&gt;0,H175/M175,"")</f>
        <v>0</v>
      </c>
    </row>
    <row r="176" spans="1:14">
      <c r="A176">
        <v>5</v>
      </c>
      <c r="B176" t="s">
        <v>150</v>
      </c>
      <c r="C176">
        <v>2</v>
      </c>
      <c r="D176">
        <v>0.5</v>
      </c>
      <c r="E176">
        <v>30</v>
      </c>
      <c r="F176" t="s">
        <v>218</v>
      </c>
      <c r="G176" t="s">
        <v>219</v>
      </c>
      <c r="H176">
        <v>4</v>
      </c>
      <c r="I176">
        <v>0</v>
      </c>
      <c r="J176">
        <v>0.11</v>
      </c>
      <c r="K176">
        <v>2.03</v>
      </c>
      <c r="L176" t="s">
        <v>29</v>
      </c>
      <c r="M176">
        <f>H176+I176</f>
        <v>0</v>
      </c>
      <c r="N176">
        <f>IF(M176&gt;0,H176/M176,"")</f>
        <v>0</v>
      </c>
    </row>
    <row r="177" spans="1:14">
      <c r="A177">
        <v>1</v>
      </c>
      <c r="B177" t="s">
        <v>150</v>
      </c>
      <c r="C177">
        <v>2</v>
      </c>
      <c r="D177">
        <v>0.95</v>
      </c>
      <c r="E177">
        <v>100</v>
      </c>
      <c r="F177" t="s">
        <v>220</v>
      </c>
      <c r="G177" t="s">
        <v>97</v>
      </c>
      <c r="H177">
        <v>4</v>
      </c>
      <c r="I177">
        <v>0</v>
      </c>
      <c r="J177">
        <v>0.11</v>
      </c>
      <c r="K177">
        <v>2.06</v>
      </c>
      <c r="L177" t="s">
        <v>41</v>
      </c>
      <c r="M177">
        <f>H177+I177</f>
        <v>0</v>
      </c>
      <c r="N177">
        <f>IF(M177&gt;0,H177/M177,"")</f>
        <v>0</v>
      </c>
    </row>
    <row r="178" spans="1:14">
      <c r="A178">
        <v>2</v>
      </c>
      <c r="B178" t="s">
        <v>150</v>
      </c>
      <c r="C178">
        <v>2</v>
      </c>
      <c r="D178">
        <v>0.95</v>
      </c>
      <c r="E178">
        <v>100</v>
      </c>
      <c r="F178" t="s">
        <v>221</v>
      </c>
      <c r="G178" t="s">
        <v>28</v>
      </c>
      <c r="H178">
        <v>6</v>
      </c>
      <c r="I178">
        <v>0</v>
      </c>
      <c r="J178">
        <v>0.11</v>
      </c>
      <c r="K178">
        <v>2.04</v>
      </c>
      <c r="L178" t="s">
        <v>44</v>
      </c>
      <c r="M178">
        <f>H178+I178</f>
        <v>0</v>
      </c>
      <c r="N178">
        <f>IF(M178&gt;0,H178/M178,"")</f>
        <v>0</v>
      </c>
    </row>
    <row r="179" spans="1:14">
      <c r="A179">
        <v>3</v>
      </c>
      <c r="B179" t="s">
        <v>150</v>
      </c>
      <c r="C179">
        <v>2</v>
      </c>
      <c r="D179">
        <v>0.95</v>
      </c>
      <c r="E179">
        <v>100</v>
      </c>
      <c r="F179" t="s">
        <v>222</v>
      </c>
      <c r="G179" t="s">
        <v>16</v>
      </c>
      <c r="H179">
        <v>5</v>
      </c>
      <c r="I179">
        <v>0</v>
      </c>
      <c r="J179">
        <v>0.11</v>
      </c>
      <c r="K179">
        <v>2.02</v>
      </c>
      <c r="L179" t="s">
        <v>47</v>
      </c>
      <c r="M179">
        <f>H179+I179</f>
        <v>0</v>
      </c>
      <c r="N179">
        <f>IF(M179&gt;0,H179/M179,"")</f>
        <v>0</v>
      </c>
    </row>
    <row r="180" spans="1:14">
      <c r="A180">
        <v>4</v>
      </c>
      <c r="B180" t="s">
        <v>150</v>
      </c>
      <c r="C180">
        <v>2</v>
      </c>
      <c r="D180">
        <v>0.95</v>
      </c>
      <c r="E180">
        <v>100</v>
      </c>
      <c r="F180" t="s">
        <v>223</v>
      </c>
      <c r="G180" t="s">
        <v>19</v>
      </c>
      <c r="H180">
        <v>8</v>
      </c>
      <c r="I180">
        <v>0</v>
      </c>
      <c r="J180">
        <v>0.11</v>
      </c>
      <c r="K180">
        <v>2.01</v>
      </c>
      <c r="L180" t="s">
        <v>26</v>
      </c>
      <c r="M180">
        <f>H180+I180</f>
        <v>0</v>
      </c>
      <c r="N180">
        <f>IF(M180&gt;0,H180/M180,"")</f>
        <v>0</v>
      </c>
    </row>
    <row r="181" spans="1:14">
      <c r="A181">
        <v>5</v>
      </c>
      <c r="B181" t="s">
        <v>150</v>
      </c>
      <c r="C181">
        <v>2</v>
      </c>
      <c r="D181">
        <v>0.95</v>
      </c>
      <c r="E181">
        <v>100</v>
      </c>
      <c r="F181" t="s">
        <v>224</v>
      </c>
      <c r="G181" t="s">
        <v>121</v>
      </c>
      <c r="H181">
        <v>3</v>
      </c>
      <c r="I181">
        <v>0</v>
      </c>
      <c r="J181">
        <v>0.11</v>
      </c>
      <c r="K181">
        <v>2.03</v>
      </c>
      <c r="L181" t="s">
        <v>157</v>
      </c>
      <c r="M181">
        <f>H181+I181</f>
        <v>0</v>
      </c>
      <c r="N181">
        <f>IF(M181&gt;0,H181/M181,"")</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177"/>
  <sheetViews>
    <sheetView workbookViewId="0"/>
  </sheetViews>
  <sheetFormatPr defaultRowHeight="15"/>
  <cols>
    <col min="1" max="1" width="20.7109375" customWidth="1"/>
    <col min="2" max="4" width="14.7109375" customWidth="1"/>
    <col min="5" max="7" width="18.7109375" customWidth="1"/>
    <col min="8" max="8" width="14.7109375" customWidth="1"/>
    <col min="9" max="9" width="35.7109375" customWidth="1"/>
    <col min="10" max="10" width="18.7109375" customWidth="1"/>
  </cols>
  <sheetData>
    <row r="1" spans="1:10">
      <c r="A1" t="s">
        <v>225</v>
      </c>
      <c r="B1" t="s">
        <v>226</v>
      </c>
      <c r="C1" t="s">
        <v>3</v>
      </c>
      <c r="D1" t="s">
        <v>4</v>
      </c>
      <c r="E1" t="s">
        <v>227</v>
      </c>
      <c r="F1" t="s">
        <v>228</v>
      </c>
      <c r="G1" t="s">
        <v>229</v>
      </c>
      <c r="H1" t="s">
        <v>230</v>
      </c>
      <c r="I1" t="s">
        <v>231</v>
      </c>
      <c r="J1" t="s">
        <v>232</v>
      </c>
    </row>
    <row r="2" spans="1:10">
      <c r="A2" t="s">
        <v>14</v>
      </c>
      <c r="B2">
        <v>0</v>
      </c>
      <c r="C2">
        <v>0.1</v>
      </c>
      <c r="D2">
        <v>10</v>
      </c>
      <c r="E2">
        <f>AVERAGEIFS('Raw Data'!$N:$N,'Raw Data'!$B:$B,"=gemini-2.0-flash-lite",'Raw Data'!$C:$C,"=0.0",'Raw Data'!$D:$D,"=0.1",'Raw Data'!$E:$E,"=10")</f>
        <v>0</v>
      </c>
      <c r="F2">
        <f>AVERAGEIFS('Raw Data'!$J:$J,'Raw Data'!$B:$B,"=gemini-2.0-flash-lite",'Raw Data'!$C:$C,"=0.0",'Raw Data'!$D:$D,"=0.1",'Raw Data'!$E:$E,"=10")</f>
        <v>0</v>
      </c>
      <c r="G2">
        <f>AVERAGEIFS('Raw Data'!$K:$K,'Raw Data'!$B:$B,"=gemini-2.0-flash-lite",'Raw Data'!$C:$C,"=0.0",'Raw Data'!$D:$D,"=0.1",'Raw Data'!$E:$E,"=10")</f>
        <v>0</v>
      </c>
      <c r="H2">
        <f>IF(E2=MAX($E$2:$E$37),"Yes","")</f>
        <v>0</v>
      </c>
      <c r="I2">
        <f>A2 &amp; " (T:" &amp; B2 &amp; ", p:" &amp; C2 &amp; ", k:" &amp; D2 &amp; ")"</f>
        <v>0</v>
      </c>
      <c r="J2">
        <f>IF(E2=MAXIFS($E:$E,$A:$A,A2),"Yes","")</f>
        <v>0</v>
      </c>
    </row>
    <row r="7" spans="1:10">
      <c r="A7" t="s">
        <v>14</v>
      </c>
      <c r="B7">
        <v>0</v>
      </c>
      <c r="C7">
        <v>0.5</v>
      </c>
      <c r="D7">
        <v>30</v>
      </c>
      <c r="E7">
        <f>AVERAGEIFS('Raw Data'!$N:$N,'Raw Data'!$B:$B,"=gemini-2.0-flash-lite",'Raw Data'!$C:$C,"=0.0",'Raw Data'!$D:$D,"=0.5",'Raw Data'!$E:$E,"=30")</f>
        <v>0</v>
      </c>
      <c r="F7">
        <f>AVERAGEIFS('Raw Data'!$J:$J,'Raw Data'!$B:$B,"=gemini-2.0-flash-lite",'Raw Data'!$C:$C,"=0.0",'Raw Data'!$D:$D,"=0.5",'Raw Data'!$E:$E,"=30")</f>
        <v>0</v>
      </c>
      <c r="G7">
        <f>AVERAGEIFS('Raw Data'!$K:$K,'Raw Data'!$B:$B,"=gemini-2.0-flash-lite",'Raw Data'!$C:$C,"=0.0",'Raw Data'!$D:$D,"=0.5",'Raw Data'!$E:$E,"=30")</f>
        <v>0</v>
      </c>
      <c r="H7">
        <f>IF(E7=MAX($E$2:$E$37),"Yes","")</f>
        <v>0</v>
      </c>
      <c r="I7">
        <f>A7 &amp; " (T:" &amp; B7 &amp; ", p:" &amp; C7 &amp; ", k:" &amp; D7 &amp; ")"</f>
        <v>0</v>
      </c>
      <c r="J7">
        <f>IF(E7=MAXIFS($E:$E,$A:$A,A7),"Yes","")</f>
        <v>0</v>
      </c>
    </row>
    <row r="12" spans="1:10">
      <c r="A12" t="s">
        <v>14</v>
      </c>
      <c r="B12">
        <v>0</v>
      </c>
      <c r="C12">
        <v>0.95</v>
      </c>
      <c r="D12">
        <v>100</v>
      </c>
      <c r="E12">
        <f>AVERAGEIFS('Raw Data'!$N:$N,'Raw Data'!$B:$B,"=gemini-2.0-flash-lite",'Raw Data'!$C:$C,"=0.0",'Raw Data'!$D:$D,"=0.95",'Raw Data'!$E:$E,"=100")</f>
        <v>0</v>
      </c>
      <c r="F12">
        <f>AVERAGEIFS('Raw Data'!$J:$J,'Raw Data'!$B:$B,"=gemini-2.0-flash-lite",'Raw Data'!$C:$C,"=0.0",'Raw Data'!$D:$D,"=0.95",'Raw Data'!$E:$E,"=100")</f>
        <v>0</v>
      </c>
      <c r="G12">
        <f>AVERAGEIFS('Raw Data'!$K:$K,'Raw Data'!$B:$B,"=gemini-2.0-flash-lite",'Raw Data'!$C:$C,"=0.0",'Raw Data'!$D:$D,"=0.95",'Raw Data'!$E:$E,"=100")</f>
        <v>0</v>
      </c>
      <c r="H12">
        <f>IF(E12=MAX($E$2:$E$37),"Yes","")</f>
        <v>0</v>
      </c>
      <c r="I12">
        <f>A12 &amp; " (T:" &amp; B12 &amp; ", p:" &amp; C12 &amp; ", k:" &amp; D12 &amp; ")"</f>
        <v>0</v>
      </c>
      <c r="J12">
        <f>IF(E12=MAXIFS($E:$E,$A:$A,A12),"Yes","")</f>
        <v>0</v>
      </c>
    </row>
    <row r="17" spans="1:10">
      <c r="A17" t="s">
        <v>14</v>
      </c>
      <c r="B17">
        <v>0.5</v>
      </c>
      <c r="C17">
        <v>0.1</v>
      </c>
      <c r="D17">
        <v>10</v>
      </c>
      <c r="E17">
        <f>AVERAGEIFS('Raw Data'!$N:$N,'Raw Data'!$B:$B,"=gemini-2.0-flash-lite",'Raw Data'!$C:$C,"=0.5",'Raw Data'!$D:$D,"=0.1",'Raw Data'!$E:$E,"=10")</f>
        <v>0</v>
      </c>
      <c r="F17">
        <f>AVERAGEIFS('Raw Data'!$J:$J,'Raw Data'!$B:$B,"=gemini-2.0-flash-lite",'Raw Data'!$C:$C,"=0.5",'Raw Data'!$D:$D,"=0.1",'Raw Data'!$E:$E,"=10")</f>
        <v>0</v>
      </c>
      <c r="G17">
        <f>AVERAGEIFS('Raw Data'!$K:$K,'Raw Data'!$B:$B,"=gemini-2.0-flash-lite",'Raw Data'!$C:$C,"=0.5",'Raw Data'!$D:$D,"=0.1",'Raw Data'!$E:$E,"=10")</f>
        <v>0</v>
      </c>
      <c r="H17">
        <f>IF(E17=MAX($E$2:$E$37),"Yes","")</f>
        <v>0</v>
      </c>
      <c r="I17">
        <f>A17 &amp; " (T:" &amp; B17 &amp; ", p:" &amp; C17 &amp; ", k:" &amp; D17 &amp; ")"</f>
        <v>0</v>
      </c>
      <c r="J17">
        <f>IF(E17=MAXIFS($E:$E,$A:$A,A17),"Yes","")</f>
        <v>0</v>
      </c>
    </row>
    <row r="22" spans="1:10">
      <c r="A22" t="s">
        <v>14</v>
      </c>
      <c r="B22">
        <v>0.5</v>
      </c>
      <c r="C22">
        <v>0.5</v>
      </c>
      <c r="D22">
        <v>30</v>
      </c>
      <c r="E22">
        <f>AVERAGEIFS('Raw Data'!$N:$N,'Raw Data'!$B:$B,"=gemini-2.0-flash-lite",'Raw Data'!$C:$C,"=0.5",'Raw Data'!$D:$D,"=0.5",'Raw Data'!$E:$E,"=30")</f>
        <v>0</v>
      </c>
      <c r="F22">
        <f>AVERAGEIFS('Raw Data'!$J:$J,'Raw Data'!$B:$B,"=gemini-2.0-flash-lite",'Raw Data'!$C:$C,"=0.5",'Raw Data'!$D:$D,"=0.5",'Raw Data'!$E:$E,"=30")</f>
        <v>0</v>
      </c>
      <c r="G22">
        <f>AVERAGEIFS('Raw Data'!$K:$K,'Raw Data'!$B:$B,"=gemini-2.0-flash-lite",'Raw Data'!$C:$C,"=0.5",'Raw Data'!$D:$D,"=0.5",'Raw Data'!$E:$E,"=30")</f>
        <v>0</v>
      </c>
      <c r="H22">
        <f>IF(E22=MAX($E$2:$E$37),"Yes","")</f>
        <v>0</v>
      </c>
      <c r="I22">
        <f>A22 &amp; " (T:" &amp; B22 &amp; ", p:" &amp; C22 &amp; ", k:" &amp; D22 &amp; ")"</f>
        <v>0</v>
      </c>
      <c r="J22">
        <f>IF(E22=MAXIFS($E:$E,$A:$A,A22),"Yes","")</f>
        <v>0</v>
      </c>
    </row>
    <row r="27" spans="1:10">
      <c r="A27" t="s">
        <v>14</v>
      </c>
      <c r="B27">
        <v>0.5</v>
      </c>
      <c r="C27">
        <v>0.95</v>
      </c>
      <c r="D27">
        <v>100</v>
      </c>
      <c r="E27">
        <f>AVERAGEIFS('Raw Data'!$N:$N,'Raw Data'!$B:$B,"=gemini-2.0-flash-lite",'Raw Data'!$C:$C,"=0.5",'Raw Data'!$D:$D,"=0.95",'Raw Data'!$E:$E,"=100")</f>
        <v>0</v>
      </c>
      <c r="F27">
        <f>AVERAGEIFS('Raw Data'!$J:$J,'Raw Data'!$B:$B,"=gemini-2.0-flash-lite",'Raw Data'!$C:$C,"=0.5",'Raw Data'!$D:$D,"=0.95",'Raw Data'!$E:$E,"=100")</f>
        <v>0</v>
      </c>
      <c r="G27">
        <f>AVERAGEIFS('Raw Data'!$K:$K,'Raw Data'!$B:$B,"=gemini-2.0-flash-lite",'Raw Data'!$C:$C,"=0.5",'Raw Data'!$D:$D,"=0.95",'Raw Data'!$E:$E,"=100")</f>
        <v>0</v>
      </c>
      <c r="H27">
        <f>IF(E27=MAX($E$2:$E$37),"Yes","")</f>
        <v>0</v>
      </c>
      <c r="I27">
        <f>A27 &amp; " (T:" &amp; B27 &amp; ", p:" &amp; C27 &amp; ", k:" &amp; D27 &amp; ")"</f>
        <v>0</v>
      </c>
      <c r="J27">
        <f>IF(E27=MAXIFS($E:$E,$A:$A,A27),"Yes","")</f>
        <v>0</v>
      </c>
    </row>
    <row r="32" spans="1:10">
      <c r="A32" t="s">
        <v>14</v>
      </c>
      <c r="B32">
        <v>1</v>
      </c>
      <c r="C32">
        <v>0.1</v>
      </c>
      <c r="D32">
        <v>10</v>
      </c>
      <c r="E32">
        <f>AVERAGEIFS('Raw Data'!$N:$N,'Raw Data'!$B:$B,"=gemini-2.0-flash-lite",'Raw Data'!$C:$C,"=1.0",'Raw Data'!$D:$D,"=0.1",'Raw Data'!$E:$E,"=10")</f>
        <v>0</v>
      </c>
      <c r="F32">
        <f>AVERAGEIFS('Raw Data'!$J:$J,'Raw Data'!$B:$B,"=gemini-2.0-flash-lite",'Raw Data'!$C:$C,"=1.0",'Raw Data'!$D:$D,"=0.1",'Raw Data'!$E:$E,"=10")</f>
        <v>0</v>
      </c>
      <c r="G32">
        <f>AVERAGEIFS('Raw Data'!$K:$K,'Raw Data'!$B:$B,"=gemini-2.0-flash-lite",'Raw Data'!$C:$C,"=1.0",'Raw Data'!$D:$D,"=0.1",'Raw Data'!$E:$E,"=10")</f>
        <v>0</v>
      </c>
      <c r="H32">
        <f>IF(E32=MAX($E$2:$E$37),"Yes","")</f>
        <v>0</v>
      </c>
      <c r="I32">
        <f>A32 &amp; " (T:" &amp; B32 &amp; ", p:" &amp; C32 &amp; ", k:" &amp; D32 &amp; ")"</f>
        <v>0</v>
      </c>
      <c r="J32">
        <f>IF(E32=MAXIFS($E:$E,$A:$A,A32),"Yes","")</f>
        <v>0</v>
      </c>
    </row>
    <row r="37" spans="1:10">
      <c r="A37" t="s">
        <v>14</v>
      </c>
      <c r="B37">
        <v>1</v>
      </c>
      <c r="C37">
        <v>0.5</v>
      </c>
      <c r="D37">
        <v>30</v>
      </c>
      <c r="E37">
        <f>AVERAGEIFS('Raw Data'!$N:$N,'Raw Data'!$B:$B,"=gemini-2.0-flash-lite",'Raw Data'!$C:$C,"=1.0",'Raw Data'!$D:$D,"=0.5",'Raw Data'!$E:$E,"=30")</f>
        <v>0</v>
      </c>
      <c r="F37">
        <f>AVERAGEIFS('Raw Data'!$J:$J,'Raw Data'!$B:$B,"=gemini-2.0-flash-lite",'Raw Data'!$C:$C,"=1.0",'Raw Data'!$D:$D,"=0.5",'Raw Data'!$E:$E,"=30")</f>
        <v>0</v>
      </c>
      <c r="G37">
        <f>AVERAGEIFS('Raw Data'!$K:$K,'Raw Data'!$B:$B,"=gemini-2.0-flash-lite",'Raw Data'!$C:$C,"=1.0",'Raw Data'!$D:$D,"=0.5",'Raw Data'!$E:$E,"=30")</f>
        <v>0</v>
      </c>
      <c r="H37">
        <f>IF(E37=MAX($E$2:$E$37),"Yes","")</f>
        <v>0</v>
      </c>
      <c r="I37">
        <f>A37 &amp; " (T:" &amp; B37 &amp; ", p:" &amp; C37 &amp; ", k:" &amp; D37 &amp; ")"</f>
        <v>0</v>
      </c>
      <c r="J37">
        <f>IF(E37=MAXIFS($E:$E,$A:$A,A37),"Yes","")</f>
        <v>0</v>
      </c>
    </row>
    <row r="42" spans="1:10">
      <c r="A42" t="s">
        <v>14</v>
      </c>
      <c r="B42">
        <v>1</v>
      </c>
      <c r="C42">
        <v>0.95</v>
      </c>
      <c r="D42">
        <v>100</v>
      </c>
      <c r="E42">
        <f>AVERAGEIFS('Raw Data'!$N:$N,'Raw Data'!$B:$B,"=gemini-2.0-flash-lite",'Raw Data'!$C:$C,"=1.0",'Raw Data'!$D:$D,"=0.95",'Raw Data'!$E:$E,"=100")</f>
        <v>0</v>
      </c>
      <c r="F42">
        <f>AVERAGEIFS('Raw Data'!$J:$J,'Raw Data'!$B:$B,"=gemini-2.0-flash-lite",'Raw Data'!$C:$C,"=1.0",'Raw Data'!$D:$D,"=0.95",'Raw Data'!$E:$E,"=100")</f>
        <v>0</v>
      </c>
      <c r="G42">
        <f>AVERAGEIFS('Raw Data'!$K:$K,'Raw Data'!$B:$B,"=gemini-2.0-flash-lite",'Raw Data'!$C:$C,"=1.0",'Raw Data'!$D:$D,"=0.95",'Raw Data'!$E:$E,"=100")</f>
        <v>0</v>
      </c>
      <c r="H42">
        <f>IF(E42=MAX($E$2:$E$37),"Yes","")</f>
        <v>0</v>
      </c>
      <c r="I42">
        <f>A42 &amp; " (T:" &amp; B42 &amp; ", p:" &amp; C42 &amp; ", k:" &amp; D42 &amp; ")"</f>
        <v>0</v>
      </c>
      <c r="J42">
        <f>IF(E42=MAXIFS($E:$E,$A:$A,A42),"Yes","")</f>
        <v>0</v>
      </c>
    </row>
    <row r="47" spans="1:10">
      <c r="A47" t="s">
        <v>14</v>
      </c>
      <c r="B47">
        <v>2</v>
      </c>
      <c r="C47">
        <v>0.1</v>
      </c>
      <c r="D47">
        <v>10</v>
      </c>
      <c r="E47">
        <f>AVERAGEIFS('Raw Data'!$N:$N,'Raw Data'!$B:$B,"=gemini-2.0-flash-lite",'Raw Data'!$C:$C,"=2.0",'Raw Data'!$D:$D,"=0.1",'Raw Data'!$E:$E,"=10")</f>
        <v>0</v>
      </c>
      <c r="F47">
        <f>AVERAGEIFS('Raw Data'!$J:$J,'Raw Data'!$B:$B,"=gemini-2.0-flash-lite",'Raw Data'!$C:$C,"=2.0",'Raw Data'!$D:$D,"=0.1",'Raw Data'!$E:$E,"=10")</f>
        <v>0</v>
      </c>
      <c r="G47">
        <f>AVERAGEIFS('Raw Data'!$K:$K,'Raw Data'!$B:$B,"=gemini-2.0-flash-lite",'Raw Data'!$C:$C,"=2.0",'Raw Data'!$D:$D,"=0.1",'Raw Data'!$E:$E,"=10")</f>
        <v>0</v>
      </c>
      <c r="H47">
        <f>IF(E47=MAX($E$2:$E$37),"Yes","")</f>
        <v>0</v>
      </c>
      <c r="I47">
        <f>A47 &amp; " (T:" &amp; B47 &amp; ", p:" &amp; C47 &amp; ", k:" &amp; D47 &amp; ")"</f>
        <v>0</v>
      </c>
      <c r="J47">
        <f>IF(E47=MAXIFS($E:$E,$A:$A,A47),"Yes","")</f>
        <v>0</v>
      </c>
    </row>
    <row r="52" spans="1:10">
      <c r="A52" t="s">
        <v>14</v>
      </c>
      <c r="B52">
        <v>2</v>
      </c>
      <c r="C52">
        <v>0.5</v>
      </c>
      <c r="D52">
        <v>30</v>
      </c>
      <c r="E52">
        <f>AVERAGEIFS('Raw Data'!$N:$N,'Raw Data'!$B:$B,"=gemini-2.0-flash-lite",'Raw Data'!$C:$C,"=2.0",'Raw Data'!$D:$D,"=0.5",'Raw Data'!$E:$E,"=30")</f>
        <v>0</v>
      </c>
      <c r="F52">
        <f>AVERAGEIFS('Raw Data'!$J:$J,'Raw Data'!$B:$B,"=gemini-2.0-flash-lite",'Raw Data'!$C:$C,"=2.0",'Raw Data'!$D:$D,"=0.5",'Raw Data'!$E:$E,"=30")</f>
        <v>0</v>
      </c>
      <c r="G52">
        <f>AVERAGEIFS('Raw Data'!$K:$K,'Raw Data'!$B:$B,"=gemini-2.0-flash-lite",'Raw Data'!$C:$C,"=2.0",'Raw Data'!$D:$D,"=0.5",'Raw Data'!$E:$E,"=30")</f>
        <v>0</v>
      </c>
      <c r="H52">
        <f>IF(E52=MAX($E$2:$E$37),"Yes","")</f>
        <v>0</v>
      </c>
      <c r="I52">
        <f>A52 &amp; " (T:" &amp; B52 &amp; ", p:" &amp; C52 &amp; ", k:" &amp; D52 &amp; ")"</f>
        <v>0</v>
      </c>
      <c r="J52">
        <f>IF(E52=MAXIFS($E:$E,$A:$A,A52),"Yes","")</f>
        <v>0</v>
      </c>
    </row>
    <row r="57" spans="1:10">
      <c r="A57" t="s">
        <v>14</v>
      </c>
      <c r="B57">
        <v>2</v>
      </c>
      <c r="C57">
        <v>0.95</v>
      </c>
      <c r="D57">
        <v>100</v>
      </c>
      <c r="E57">
        <f>AVERAGEIFS('Raw Data'!$N:$N,'Raw Data'!$B:$B,"=gemini-2.0-flash-lite",'Raw Data'!$C:$C,"=2.0",'Raw Data'!$D:$D,"=0.95",'Raw Data'!$E:$E,"=100")</f>
        <v>0</v>
      </c>
      <c r="F57">
        <f>AVERAGEIFS('Raw Data'!$J:$J,'Raw Data'!$B:$B,"=gemini-2.0-flash-lite",'Raw Data'!$C:$C,"=2.0",'Raw Data'!$D:$D,"=0.95",'Raw Data'!$E:$E,"=100")</f>
        <v>0</v>
      </c>
      <c r="G57">
        <f>AVERAGEIFS('Raw Data'!$K:$K,'Raw Data'!$B:$B,"=gemini-2.0-flash-lite",'Raw Data'!$C:$C,"=2.0",'Raw Data'!$D:$D,"=0.95",'Raw Data'!$E:$E,"=100")</f>
        <v>0</v>
      </c>
      <c r="H57">
        <f>IF(E57=MAX($E$2:$E$37),"Yes","")</f>
        <v>0</v>
      </c>
      <c r="I57">
        <f>A57 &amp; " (T:" &amp; B57 &amp; ", p:" &amp; C57 &amp; ", k:" &amp; D57 &amp; ")"</f>
        <v>0</v>
      </c>
      <c r="J57">
        <f>IF(E57=MAXIFS($E:$E,$A:$A,A57),"Yes","")</f>
        <v>0</v>
      </c>
    </row>
    <row r="62" spans="1:10">
      <c r="A62" t="s">
        <v>105</v>
      </c>
      <c r="B62">
        <v>0</v>
      </c>
      <c r="C62">
        <v>0.1</v>
      </c>
      <c r="D62">
        <v>10</v>
      </c>
      <c r="E62">
        <f>AVERAGEIFS('Raw Data'!$N:$N,'Raw Data'!$B:$B,"=gemini-2.0-flash",'Raw Data'!$C:$C,"=0.0",'Raw Data'!$D:$D,"=0.1",'Raw Data'!$E:$E,"=10")</f>
        <v>0</v>
      </c>
      <c r="F62">
        <f>AVERAGEIFS('Raw Data'!$J:$J,'Raw Data'!$B:$B,"=gemini-2.0-flash",'Raw Data'!$C:$C,"=0.0",'Raw Data'!$D:$D,"=0.1",'Raw Data'!$E:$E,"=10")</f>
        <v>0</v>
      </c>
      <c r="G62">
        <f>AVERAGEIFS('Raw Data'!$K:$K,'Raw Data'!$B:$B,"=gemini-2.0-flash",'Raw Data'!$C:$C,"=0.0",'Raw Data'!$D:$D,"=0.1",'Raw Data'!$E:$E,"=10")</f>
        <v>0</v>
      </c>
      <c r="H62">
        <f>IF(E62=MAX($E$2:$E$37),"Yes","")</f>
        <v>0</v>
      </c>
      <c r="I62">
        <f>A62 &amp; " (T:" &amp; B62 &amp; ", p:" &amp; C62 &amp; ", k:" &amp; D62 &amp; ")"</f>
        <v>0</v>
      </c>
      <c r="J62">
        <f>IF(E62=MAXIFS($E:$E,$A:$A,A62),"Yes","")</f>
        <v>0</v>
      </c>
    </row>
    <row r="67" spans="1:10">
      <c r="A67" t="s">
        <v>105</v>
      </c>
      <c r="B67">
        <v>0</v>
      </c>
      <c r="C67">
        <v>0.5</v>
      </c>
      <c r="D67">
        <v>30</v>
      </c>
      <c r="E67">
        <f>AVERAGEIFS('Raw Data'!$N:$N,'Raw Data'!$B:$B,"=gemini-2.0-flash",'Raw Data'!$C:$C,"=0.0",'Raw Data'!$D:$D,"=0.5",'Raw Data'!$E:$E,"=30")</f>
        <v>0</v>
      </c>
      <c r="F67">
        <f>AVERAGEIFS('Raw Data'!$J:$J,'Raw Data'!$B:$B,"=gemini-2.0-flash",'Raw Data'!$C:$C,"=0.0",'Raw Data'!$D:$D,"=0.5",'Raw Data'!$E:$E,"=30")</f>
        <v>0</v>
      </c>
      <c r="G67">
        <f>AVERAGEIFS('Raw Data'!$K:$K,'Raw Data'!$B:$B,"=gemini-2.0-flash",'Raw Data'!$C:$C,"=0.0",'Raw Data'!$D:$D,"=0.5",'Raw Data'!$E:$E,"=30")</f>
        <v>0</v>
      </c>
      <c r="H67">
        <f>IF(E67=MAX($E$2:$E$37),"Yes","")</f>
        <v>0</v>
      </c>
      <c r="I67">
        <f>A67 &amp; " (T:" &amp; B67 &amp; ", p:" &amp; C67 &amp; ", k:" &amp; D67 &amp; ")"</f>
        <v>0</v>
      </c>
      <c r="J67">
        <f>IF(E67=MAXIFS($E:$E,$A:$A,A67),"Yes","")</f>
        <v>0</v>
      </c>
    </row>
    <row r="72" spans="1:10">
      <c r="A72" t="s">
        <v>105</v>
      </c>
      <c r="B72">
        <v>0</v>
      </c>
      <c r="C72">
        <v>0.95</v>
      </c>
      <c r="D72">
        <v>100</v>
      </c>
      <c r="E72">
        <f>AVERAGEIFS('Raw Data'!$N:$N,'Raw Data'!$B:$B,"=gemini-2.0-flash",'Raw Data'!$C:$C,"=0.0",'Raw Data'!$D:$D,"=0.95",'Raw Data'!$E:$E,"=100")</f>
        <v>0</v>
      </c>
      <c r="F72">
        <f>AVERAGEIFS('Raw Data'!$J:$J,'Raw Data'!$B:$B,"=gemini-2.0-flash",'Raw Data'!$C:$C,"=0.0",'Raw Data'!$D:$D,"=0.95",'Raw Data'!$E:$E,"=100")</f>
        <v>0</v>
      </c>
      <c r="G72">
        <f>AVERAGEIFS('Raw Data'!$K:$K,'Raw Data'!$B:$B,"=gemini-2.0-flash",'Raw Data'!$C:$C,"=0.0",'Raw Data'!$D:$D,"=0.95",'Raw Data'!$E:$E,"=100")</f>
        <v>0</v>
      </c>
      <c r="H72">
        <f>IF(E72=MAX($E$2:$E$37),"Yes","")</f>
        <v>0</v>
      </c>
      <c r="I72">
        <f>A72 &amp; " (T:" &amp; B72 &amp; ", p:" &amp; C72 &amp; ", k:" &amp; D72 &amp; ")"</f>
        <v>0</v>
      </c>
      <c r="J72">
        <f>IF(E72=MAXIFS($E:$E,$A:$A,A72),"Yes","")</f>
        <v>0</v>
      </c>
    </row>
    <row r="77" spans="1:10">
      <c r="A77" t="s">
        <v>105</v>
      </c>
      <c r="B77">
        <v>0.5</v>
      </c>
      <c r="C77">
        <v>0.1</v>
      </c>
      <c r="D77">
        <v>10</v>
      </c>
      <c r="E77">
        <f>AVERAGEIFS('Raw Data'!$N:$N,'Raw Data'!$B:$B,"=gemini-2.0-flash",'Raw Data'!$C:$C,"=0.5",'Raw Data'!$D:$D,"=0.1",'Raw Data'!$E:$E,"=10")</f>
        <v>0</v>
      </c>
      <c r="F77">
        <f>AVERAGEIFS('Raw Data'!$J:$J,'Raw Data'!$B:$B,"=gemini-2.0-flash",'Raw Data'!$C:$C,"=0.5",'Raw Data'!$D:$D,"=0.1",'Raw Data'!$E:$E,"=10")</f>
        <v>0</v>
      </c>
      <c r="G77">
        <f>AVERAGEIFS('Raw Data'!$K:$K,'Raw Data'!$B:$B,"=gemini-2.0-flash",'Raw Data'!$C:$C,"=0.5",'Raw Data'!$D:$D,"=0.1",'Raw Data'!$E:$E,"=10")</f>
        <v>0</v>
      </c>
      <c r="H77">
        <f>IF(E77=MAX($E$2:$E$37),"Yes","")</f>
        <v>0</v>
      </c>
      <c r="I77">
        <f>A77 &amp; " (T:" &amp; B77 &amp; ", p:" &amp; C77 &amp; ", k:" &amp; D77 &amp; ")"</f>
        <v>0</v>
      </c>
      <c r="J77">
        <f>IF(E77=MAXIFS($E:$E,$A:$A,A77),"Yes","")</f>
        <v>0</v>
      </c>
    </row>
    <row r="82" spans="1:10">
      <c r="A82" t="s">
        <v>105</v>
      </c>
      <c r="B82">
        <v>0.5</v>
      </c>
      <c r="C82">
        <v>0.5</v>
      </c>
      <c r="D82">
        <v>30</v>
      </c>
      <c r="E82">
        <f>AVERAGEIFS('Raw Data'!$N:$N,'Raw Data'!$B:$B,"=gemini-2.0-flash",'Raw Data'!$C:$C,"=0.5",'Raw Data'!$D:$D,"=0.5",'Raw Data'!$E:$E,"=30")</f>
        <v>0</v>
      </c>
      <c r="F82">
        <f>AVERAGEIFS('Raw Data'!$J:$J,'Raw Data'!$B:$B,"=gemini-2.0-flash",'Raw Data'!$C:$C,"=0.5",'Raw Data'!$D:$D,"=0.5",'Raw Data'!$E:$E,"=30")</f>
        <v>0</v>
      </c>
      <c r="G82">
        <f>AVERAGEIFS('Raw Data'!$K:$K,'Raw Data'!$B:$B,"=gemini-2.0-flash",'Raw Data'!$C:$C,"=0.5",'Raw Data'!$D:$D,"=0.5",'Raw Data'!$E:$E,"=30")</f>
        <v>0</v>
      </c>
      <c r="H82">
        <f>IF(E82=MAX($E$2:$E$37),"Yes","")</f>
        <v>0</v>
      </c>
      <c r="I82">
        <f>A82 &amp; " (T:" &amp; B82 &amp; ", p:" &amp; C82 &amp; ", k:" &amp; D82 &amp; ")"</f>
        <v>0</v>
      </c>
      <c r="J82">
        <f>IF(E82=MAXIFS($E:$E,$A:$A,A82),"Yes","")</f>
        <v>0</v>
      </c>
    </row>
    <row r="87" spans="1:10">
      <c r="A87" t="s">
        <v>105</v>
      </c>
      <c r="B87">
        <v>0.5</v>
      </c>
      <c r="C87">
        <v>0.95</v>
      </c>
      <c r="D87">
        <v>100</v>
      </c>
      <c r="E87">
        <f>AVERAGEIFS('Raw Data'!$N:$N,'Raw Data'!$B:$B,"=gemini-2.0-flash",'Raw Data'!$C:$C,"=0.5",'Raw Data'!$D:$D,"=0.95",'Raw Data'!$E:$E,"=100")</f>
        <v>0</v>
      </c>
      <c r="F87">
        <f>AVERAGEIFS('Raw Data'!$J:$J,'Raw Data'!$B:$B,"=gemini-2.0-flash",'Raw Data'!$C:$C,"=0.5",'Raw Data'!$D:$D,"=0.95",'Raw Data'!$E:$E,"=100")</f>
        <v>0</v>
      </c>
      <c r="G87">
        <f>AVERAGEIFS('Raw Data'!$K:$K,'Raw Data'!$B:$B,"=gemini-2.0-flash",'Raw Data'!$C:$C,"=0.5",'Raw Data'!$D:$D,"=0.95",'Raw Data'!$E:$E,"=100")</f>
        <v>0</v>
      </c>
      <c r="H87">
        <f>IF(E87=MAX($E$2:$E$37),"Yes","")</f>
        <v>0</v>
      </c>
      <c r="I87">
        <f>A87 &amp; " (T:" &amp; B87 &amp; ", p:" &amp; C87 &amp; ", k:" &amp; D87 &amp; ")"</f>
        <v>0</v>
      </c>
      <c r="J87">
        <f>IF(E87=MAXIFS($E:$E,$A:$A,A87),"Yes","")</f>
        <v>0</v>
      </c>
    </row>
    <row r="92" spans="1:10">
      <c r="A92" t="s">
        <v>105</v>
      </c>
      <c r="B92">
        <v>1</v>
      </c>
      <c r="C92">
        <v>0.1</v>
      </c>
      <c r="D92">
        <v>10</v>
      </c>
      <c r="E92">
        <f>AVERAGEIFS('Raw Data'!$N:$N,'Raw Data'!$B:$B,"=gemini-2.0-flash",'Raw Data'!$C:$C,"=1.0",'Raw Data'!$D:$D,"=0.1",'Raw Data'!$E:$E,"=10")</f>
        <v>0</v>
      </c>
      <c r="F92">
        <f>AVERAGEIFS('Raw Data'!$J:$J,'Raw Data'!$B:$B,"=gemini-2.0-flash",'Raw Data'!$C:$C,"=1.0",'Raw Data'!$D:$D,"=0.1",'Raw Data'!$E:$E,"=10")</f>
        <v>0</v>
      </c>
      <c r="G92">
        <f>AVERAGEIFS('Raw Data'!$K:$K,'Raw Data'!$B:$B,"=gemini-2.0-flash",'Raw Data'!$C:$C,"=1.0",'Raw Data'!$D:$D,"=0.1",'Raw Data'!$E:$E,"=10")</f>
        <v>0</v>
      </c>
      <c r="H92">
        <f>IF(E92=MAX($E$2:$E$37),"Yes","")</f>
        <v>0</v>
      </c>
      <c r="I92">
        <f>A92 &amp; " (T:" &amp; B92 &amp; ", p:" &amp; C92 &amp; ", k:" &amp; D92 &amp; ")"</f>
        <v>0</v>
      </c>
      <c r="J92">
        <f>IF(E92=MAXIFS($E:$E,$A:$A,A92),"Yes","")</f>
        <v>0</v>
      </c>
    </row>
    <row r="97" spans="1:10">
      <c r="A97" t="s">
        <v>105</v>
      </c>
      <c r="B97">
        <v>1</v>
      </c>
      <c r="C97">
        <v>0.5</v>
      </c>
      <c r="D97">
        <v>30</v>
      </c>
      <c r="E97">
        <f>AVERAGEIFS('Raw Data'!$N:$N,'Raw Data'!$B:$B,"=gemini-2.0-flash",'Raw Data'!$C:$C,"=1.0",'Raw Data'!$D:$D,"=0.5",'Raw Data'!$E:$E,"=30")</f>
        <v>0</v>
      </c>
      <c r="F97">
        <f>AVERAGEIFS('Raw Data'!$J:$J,'Raw Data'!$B:$B,"=gemini-2.0-flash",'Raw Data'!$C:$C,"=1.0",'Raw Data'!$D:$D,"=0.5",'Raw Data'!$E:$E,"=30")</f>
        <v>0</v>
      </c>
      <c r="G97">
        <f>AVERAGEIFS('Raw Data'!$K:$K,'Raw Data'!$B:$B,"=gemini-2.0-flash",'Raw Data'!$C:$C,"=1.0",'Raw Data'!$D:$D,"=0.5",'Raw Data'!$E:$E,"=30")</f>
        <v>0</v>
      </c>
      <c r="H97">
        <f>IF(E97=MAX($E$2:$E$37),"Yes","")</f>
        <v>0</v>
      </c>
      <c r="I97">
        <f>A97 &amp; " (T:" &amp; B97 &amp; ", p:" &amp; C97 &amp; ", k:" &amp; D97 &amp; ")"</f>
        <v>0</v>
      </c>
      <c r="J97">
        <f>IF(E97=MAXIFS($E:$E,$A:$A,A97),"Yes","")</f>
        <v>0</v>
      </c>
    </row>
    <row r="102" spans="1:10">
      <c r="A102" t="s">
        <v>105</v>
      </c>
      <c r="B102">
        <v>1</v>
      </c>
      <c r="C102">
        <v>0.95</v>
      </c>
      <c r="D102">
        <v>100</v>
      </c>
      <c r="E102">
        <f>AVERAGEIFS('Raw Data'!$N:$N,'Raw Data'!$B:$B,"=gemini-2.0-flash",'Raw Data'!$C:$C,"=1.0",'Raw Data'!$D:$D,"=0.95",'Raw Data'!$E:$E,"=100")</f>
        <v>0</v>
      </c>
      <c r="F102">
        <f>AVERAGEIFS('Raw Data'!$J:$J,'Raw Data'!$B:$B,"=gemini-2.0-flash",'Raw Data'!$C:$C,"=1.0",'Raw Data'!$D:$D,"=0.95",'Raw Data'!$E:$E,"=100")</f>
        <v>0</v>
      </c>
      <c r="G102">
        <f>AVERAGEIFS('Raw Data'!$K:$K,'Raw Data'!$B:$B,"=gemini-2.0-flash",'Raw Data'!$C:$C,"=1.0",'Raw Data'!$D:$D,"=0.95",'Raw Data'!$E:$E,"=100")</f>
        <v>0</v>
      </c>
      <c r="H102">
        <f>IF(E102=MAX($E$2:$E$37),"Yes","")</f>
        <v>0</v>
      </c>
      <c r="I102">
        <f>A102 &amp; " (T:" &amp; B102 &amp; ", p:" &amp; C102 &amp; ", k:" &amp; D102 &amp; ")"</f>
        <v>0</v>
      </c>
      <c r="J102">
        <f>IF(E102=MAXIFS($E:$E,$A:$A,A102),"Yes","")</f>
        <v>0</v>
      </c>
    </row>
    <row r="107" spans="1:10">
      <c r="A107" t="s">
        <v>105</v>
      </c>
      <c r="B107">
        <v>2</v>
      </c>
      <c r="C107">
        <v>0.1</v>
      </c>
      <c r="D107">
        <v>10</v>
      </c>
      <c r="E107">
        <f>AVERAGEIFS('Raw Data'!$N:$N,'Raw Data'!$B:$B,"=gemini-2.0-flash",'Raw Data'!$C:$C,"=2.0",'Raw Data'!$D:$D,"=0.1",'Raw Data'!$E:$E,"=10")</f>
        <v>0</v>
      </c>
      <c r="F107">
        <f>AVERAGEIFS('Raw Data'!$J:$J,'Raw Data'!$B:$B,"=gemini-2.0-flash",'Raw Data'!$C:$C,"=2.0",'Raw Data'!$D:$D,"=0.1",'Raw Data'!$E:$E,"=10")</f>
        <v>0</v>
      </c>
      <c r="G107">
        <f>AVERAGEIFS('Raw Data'!$K:$K,'Raw Data'!$B:$B,"=gemini-2.0-flash",'Raw Data'!$C:$C,"=2.0",'Raw Data'!$D:$D,"=0.1",'Raw Data'!$E:$E,"=10")</f>
        <v>0</v>
      </c>
      <c r="H107">
        <f>IF(E107=MAX($E$2:$E$37),"Yes","")</f>
        <v>0</v>
      </c>
      <c r="I107">
        <f>A107 &amp; " (T:" &amp; B107 &amp; ", p:" &amp; C107 &amp; ", k:" &amp; D107 &amp; ")"</f>
        <v>0</v>
      </c>
      <c r="J107">
        <f>IF(E107=MAXIFS($E:$E,$A:$A,A107),"Yes","")</f>
        <v>0</v>
      </c>
    </row>
    <row r="112" spans="1:10">
      <c r="A112" t="s">
        <v>105</v>
      </c>
      <c r="B112">
        <v>2</v>
      </c>
      <c r="C112">
        <v>0.5</v>
      </c>
      <c r="D112">
        <v>30</v>
      </c>
      <c r="E112">
        <f>AVERAGEIFS('Raw Data'!$N:$N,'Raw Data'!$B:$B,"=gemini-2.0-flash",'Raw Data'!$C:$C,"=2.0",'Raw Data'!$D:$D,"=0.5",'Raw Data'!$E:$E,"=30")</f>
        <v>0</v>
      </c>
      <c r="F112">
        <f>AVERAGEIFS('Raw Data'!$J:$J,'Raw Data'!$B:$B,"=gemini-2.0-flash",'Raw Data'!$C:$C,"=2.0",'Raw Data'!$D:$D,"=0.5",'Raw Data'!$E:$E,"=30")</f>
        <v>0</v>
      </c>
      <c r="G112">
        <f>AVERAGEIFS('Raw Data'!$K:$K,'Raw Data'!$B:$B,"=gemini-2.0-flash",'Raw Data'!$C:$C,"=2.0",'Raw Data'!$D:$D,"=0.5",'Raw Data'!$E:$E,"=30")</f>
        <v>0</v>
      </c>
      <c r="H112">
        <f>IF(E112=MAX($E$2:$E$37),"Yes","")</f>
        <v>0</v>
      </c>
      <c r="I112">
        <f>A112 &amp; " (T:" &amp; B112 &amp; ", p:" &amp; C112 &amp; ", k:" &amp; D112 &amp; ")"</f>
        <v>0</v>
      </c>
      <c r="J112">
        <f>IF(E112=MAXIFS($E:$E,$A:$A,A112),"Yes","")</f>
        <v>0</v>
      </c>
    </row>
    <row r="117" spans="1:10">
      <c r="A117" t="s">
        <v>105</v>
      </c>
      <c r="B117">
        <v>2</v>
      </c>
      <c r="C117">
        <v>0.95</v>
      </c>
      <c r="D117">
        <v>100</v>
      </c>
      <c r="E117">
        <f>AVERAGEIFS('Raw Data'!$N:$N,'Raw Data'!$B:$B,"=gemini-2.0-flash",'Raw Data'!$C:$C,"=2.0",'Raw Data'!$D:$D,"=0.95",'Raw Data'!$E:$E,"=100")</f>
        <v>0</v>
      </c>
      <c r="F117">
        <f>AVERAGEIFS('Raw Data'!$J:$J,'Raw Data'!$B:$B,"=gemini-2.0-flash",'Raw Data'!$C:$C,"=2.0",'Raw Data'!$D:$D,"=0.95",'Raw Data'!$E:$E,"=100")</f>
        <v>0</v>
      </c>
      <c r="G117">
        <f>AVERAGEIFS('Raw Data'!$K:$K,'Raw Data'!$B:$B,"=gemini-2.0-flash",'Raw Data'!$C:$C,"=2.0",'Raw Data'!$D:$D,"=0.95",'Raw Data'!$E:$E,"=100")</f>
        <v>0</v>
      </c>
      <c r="H117">
        <f>IF(E117=MAX($E$2:$E$37),"Yes","")</f>
        <v>0</v>
      </c>
      <c r="I117">
        <f>A117 &amp; " (T:" &amp; B117 &amp; ", p:" &amp; C117 &amp; ", k:" &amp; D117 &amp; ")"</f>
        <v>0</v>
      </c>
      <c r="J117">
        <f>IF(E117=MAXIFS($E:$E,$A:$A,A117),"Yes","")</f>
        <v>0</v>
      </c>
    </row>
    <row r="122" spans="1:10">
      <c r="A122" t="s">
        <v>150</v>
      </c>
      <c r="B122">
        <v>0</v>
      </c>
      <c r="C122">
        <v>0.1</v>
      </c>
      <c r="D122">
        <v>10</v>
      </c>
      <c r="E122">
        <f>AVERAGEIFS('Raw Data'!$N:$N,'Raw Data'!$B:$B,"=gemini-2.0-pro-exp-02-05",'Raw Data'!$C:$C,"=0.0",'Raw Data'!$D:$D,"=0.1",'Raw Data'!$E:$E,"=10")</f>
        <v>0</v>
      </c>
      <c r="F122">
        <f>AVERAGEIFS('Raw Data'!$J:$J,'Raw Data'!$B:$B,"=gemini-2.0-pro-exp-02-05",'Raw Data'!$C:$C,"=0.0",'Raw Data'!$D:$D,"=0.1",'Raw Data'!$E:$E,"=10")</f>
        <v>0</v>
      </c>
      <c r="G122">
        <f>AVERAGEIFS('Raw Data'!$K:$K,'Raw Data'!$B:$B,"=gemini-2.0-pro-exp-02-05",'Raw Data'!$C:$C,"=0.0",'Raw Data'!$D:$D,"=0.1",'Raw Data'!$E:$E,"=10")</f>
        <v>0</v>
      </c>
      <c r="H122">
        <f>IF(E122=MAX($E$2:$E$37),"Yes","")</f>
        <v>0</v>
      </c>
      <c r="I122">
        <f>A122 &amp; " (T:" &amp; B122 &amp; ", p:" &amp; C122 &amp; ", k:" &amp; D122 &amp; ")"</f>
        <v>0</v>
      </c>
      <c r="J122">
        <f>IF(E122=MAXIFS($E:$E,$A:$A,A122),"Yes","")</f>
        <v>0</v>
      </c>
    </row>
    <row r="127" spans="1:10">
      <c r="A127" t="s">
        <v>150</v>
      </c>
      <c r="B127">
        <v>0</v>
      </c>
      <c r="C127">
        <v>0.5</v>
      </c>
      <c r="D127">
        <v>30</v>
      </c>
      <c r="E127">
        <f>AVERAGEIFS('Raw Data'!$N:$N,'Raw Data'!$B:$B,"=gemini-2.0-pro-exp-02-05",'Raw Data'!$C:$C,"=0.0",'Raw Data'!$D:$D,"=0.5",'Raw Data'!$E:$E,"=30")</f>
        <v>0</v>
      </c>
      <c r="F127">
        <f>AVERAGEIFS('Raw Data'!$J:$J,'Raw Data'!$B:$B,"=gemini-2.0-pro-exp-02-05",'Raw Data'!$C:$C,"=0.0",'Raw Data'!$D:$D,"=0.5",'Raw Data'!$E:$E,"=30")</f>
        <v>0</v>
      </c>
      <c r="G127">
        <f>AVERAGEIFS('Raw Data'!$K:$K,'Raw Data'!$B:$B,"=gemini-2.0-pro-exp-02-05",'Raw Data'!$C:$C,"=0.0",'Raw Data'!$D:$D,"=0.5",'Raw Data'!$E:$E,"=30")</f>
        <v>0</v>
      </c>
      <c r="H127">
        <f>IF(E127=MAX($E$2:$E$37),"Yes","")</f>
        <v>0</v>
      </c>
      <c r="I127">
        <f>A127 &amp; " (T:" &amp; B127 &amp; ", p:" &amp; C127 &amp; ", k:" &amp; D127 &amp; ")"</f>
        <v>0</v>
      </c>
      <c r="J127">
        <f>IF(E127=MAXIFS($E:$E,$A:$A,A127),"Yes","")</f>
        <v>0</v>
      </c>
    </row>
    <row r="132" spans="1:10">
      <c r="A132" t="s">
        <v>150</v>
      </c>
      <c r="B132">
        <v>0</v>
      </c>
      <c r="C132">
        <v>0.95</v>
      </c>
      <c r="D132">
        <v>100</v>
      </c>
      <c r="E132">
        <f>AVERAGEIFS('Raw Data'!$N:$N,'Raw Data'!$B:$B,"=gemini-2.0-pro-exp-02-05",'Raw Data'!$C:$C,"=0.0",'Raw Data'!$D:$D,"=0.95",'Raw Data'!$E:$E,"=100")</f>
        <v>0</v>
      </c>
      <c r="F132">
        <f>AVERAGEIFS('Raw Data'!$J:$J,'Raw Data'!$B:$B,"=gemini-2.0-pro-exp-02-05",'Raw Data'!$C:$C,"=0.0",'Raw Data'!$D:$D,"=0.95",'Raw Data'!$E:$E,"=100")</f>
        <v>0</v>
      </c>
      <c r="G132">
        <f>AVERAGEIFS('Raw Data'!$K:$K,'Raw Data'!$B:$B,"=gemini-2.0-pro-exp-02-05",'Raw Data'!$C:$C,"=0.0",'Raw Data'!$D:$D,"=0.95",'Raw Data'!$E:$E,"=100")</f>
        <v>0</v>
      </c>
      <c r="H132">
        <f>IF(E132=MAX($E$2:$E$37),"Yes","")</f>
        <v>0</v>
      </c>
      <c r="I132">
        <f>A132 &amp; " (T:" &amp; B132 &amp; ", p:" &amp; C132 &amp; ", k:" &amp; D132 &amp; ")"</f>
        <v>0</v>
      </c>
      <c r="J132">
        <f>IF(E132=MAXIFS($E:$E,$A:$A,A132),"Yes","")</f>
        <v>0</v>
      </c>
    </row>
    <row r="137" spans="1:10">
      <c r="A137" t="s">
        <v>150</v>
      </c>
      <c r="B137">
        <v>0.5</v>
      </c>
      <c r="C137">
        <v>0.1</v>
      </c>
      <c r="D137">
        <v>10</v>
      </c>
      <c r="E137">
        <f>AVERAGEIFS('Raw Data'!$N:$N,'Raw Data'!$B:$B,"=gemini-2.0-pro-exp-02-05",'Raw Data'!$C:$C,"=0.5",'Raw Data'!$D:$D,"=0.1",'Raw Data'!$E:$E,"=10")</f>
        <v>0</v>
      </c>
      <c r="F137">
        <f>AVERAGEIFS('Raw Data'!$J:$J,'Raw Data'!$B:$B,"=gemini-2.0-pro-exp-02-05",'Raw Data'!$C:$C,"=0.5",'Raw Data'!$D:$D,"=0.1",'Raw Data'!$E:$E,"=10")</f>
        <v>0</v>
      </c>
      <c r="G137">
        <f>AVERAGEIFS('Raw Data'!$K:$K,'Raw Data'!$B:$B,"=gemini-2.0-pro-exp-02-05",'Raw Data'!$C:$C,"=0.5",'Raw Data'!$D:$D,"=0.1",'Raw Data'!$E:$E,"=10")</f>
        <v>0</v>
      </c>
      <c r="H137">
        <f>IF(E137=MAX($E$2:$E$37),"Yes","")</f>
        <v>0</v>
      </c>
      <c r="I137">
        <f>A137 &amp; " (T:" &amp; B137 &amp; ", p:" &amp; C137 &amp; ", k:" &amp; D137 &amp; ")"</f>
        <v>0</v>
      </c>
      <c r="J137">
        <f>IF(E137=MAXIFS($E:$E,$A:$A,A137),"Yes","")</f>
        <v>0</v>
      </c>
    </row>
    <row r="142" spans="1:10">
      <c r="A142" t="s">
        <v>150</v>
      </c>
      <c r="B142">
        <v>0.5</v>
      </c>
      <c r="C142">
        <v>0.5</v>
      </c>
      <c r="D142">
        <v>30</v>
      </c>
      <c r="E142">
        <f>AVERAGEIFS('Raw Data'!$N:$N,'Raw Data'!$B:$B,"=gemini-2.0-pro-exp-02-05",'Raw Data'!$C:$C,"=0.5",'Raw Data'!$D:$D,"=0.5",'Raw Data'!$E:$E,"=30")</f>
        <v>0</v>
      </c>
      <c r="F142">
        <f>AVERAGEIFS('Raw Data'!$J:$J,'Raw Data'!$B:$B,"=gemini-2.0-pro-exp-02-05",'Raw Data'!$C:$C,"=0.5",'Raw Data'!$D:$D,"=0.5",'Raw Data'!$E:$E,"=30")</f>
        <v>0</v>
      </c>
      <c r="G142">
        <f>AVERAGEIFS('Raw Data'!$K:$K,'Raw Data'!$B:$B,"=gemini-2.0-pro-exp-02-05",'Raw Data'!$C:$C,"=0.5",'Raw Data'!$D:$D,"=0.5",'Raw Data'!$E:$E,"=30")</f>
        <v>0</v>
      </c>
      <c r="H142">
        <f>IF(E142=MAX($E$2:$E$37),"Yes","")</f>
        <v>0</v>
      </c>
      <c r="I142">
        <f>A142 &amp; " (T:" &amp; B142 &amp; ", p:" &amp; C142 &amp; ", k:" &amp; D142 &amp; ")"</f>
        <v>0</v>
      </c>
      <c r="J142">
        <f>IF(E142=MAXIFS($E:$E,$A:$A,A142),"Yes","")</f>
        <v>0</v>
      </c>
    </row>
    <row r="147" spans="1:10">
      <c r="A147" t="s">
        <v>150</v>
      </c>
      <c r="B147">
        <v>0.5</v>
      </c>
      <c r="C147">
        <v>0.95</v>
      </c>
      <c r="D147">
        <v>100</v>
      </c>
      <c r="E147">
        <f>AVERAGEIFS('Raw Data'!$N:$N,'Raw Data'!$B:$B,"=gemini-2.0-pro-exp-02-05",'Raw Data'!$C:$C,"=0.5",'Raw Data'!$D:$D,"=0.95",'Raw Data'!$E:$E,"=100")</f>
        <v>0</v>
      </c>
      <c r="F147">
        <f>AVERAGEIFS('Raw Data'!$J:$J,'Raw Data'!$B:$B,"=gemini-2.0-pro-exp-02-05",'Raw Data'!$C:$C,"=0.5",'Raw Data'!$D:$D,"=0.95",'Raw Data'!$E:$E,"=100")</f>
        <v>0</v>
      </c>
      <c r="G147">
        <f>AVERAGEIFS('Raw Data'!$K:$K,'Raw Data'!$B:$B,"=gemini-2.0-pro-exp-02-05",'Raw Data'!$C:$C,"=0.5",'Raw Data'!$D:$D,"=0.95",'Raw Data'!$E:$E,"=100")</f>
        <v>0</v>
      </c>
      <c r="H147">
        <f>IF(E147=MAX($E$2:$E$37),"Yes","")</f>
        <v>0</v>
      </c>
      <c r="I147">
        <f>A147 &amp; " (T:" &amp; B147 &amp; ", p:" &amp; C147 &amp; ", k:" &amp; D147 &amp; ")"</f>
        <v>0</v>
      </c>
      <c r="J147">
        <f>IF(E147=MAXIFS($E:$E,$A:$A,A147),"Yes","")</f>
        <v>0</v>
      </c>
    </row>
    <row r="152" spans="1:10">
      <c r="A152" t="s">
        <v>150</v>
      </c>
      <c r="B152">
        <v>1</v>
      </c>
      <c r="C152">
        <v>0.1</v>
      </c>
      <c r="D152">
        <v>10</v>
      </c>
      <c r="E152">
        <f>AVERAGEIFS('Raw Data'!$N:$N,'Raw Data'!$B:$B,"=gemini-2.0-pro-exp-02-05",'Raw Data'!$C:$C,"=1.0",'Raw Data'!$D:$D,"=0.1",'Raw Data'!$E:$E,"=10")</f>
        <v>0</v>
      </c>
      <c r="F152">
        <f>AVERAGEIFS('Raw Data'!$J:$J,'Raw Data'!$B:$B,"=gemini-2.0-pro-exp-02-05",'Raw Data'!$C:$C,"=1.0",'Raw Data'!$D:$D,"=0.1",'Raw Data'!$E:$E,"=10")</f>
        <v>0</v>
      </c>
      <c r="G152">
        <f>AVERAGEIFS('Raw Data'!$K:$K,'Raw Data'!$B:$B,"=gemini-2.0-pro-exp-02-05",'Raw Data'!$C:$C,"=1.0",'Raw Data'!$D:$D,"=0.1",'Raw Data'!$E:$E,"=10")</f>
        <v>0</v>
      </c>
      <c r="H152">
        <f>IF(E152=MAX($E$2:$E$37),"Yes","")</f>
        <v>0</v>
      </c>
      <c r="I152">
        <f>A152 &amp; " (T:" &amp; B152 &amp; ", p:" &amp; C152 &amp; ", k:" &amp; D152 &amp; ")"</f>
        <v>0</v>
      </c>
      <c r="J152">
        <f>IF(E152=MAXIFS($E:$E,$A:$A,A152),"Yes","")</f>
        <v>0</v>
      </c>
    </row>
    <row r="157" spans="1:10">
      <c r="A157" t="s">
        <v>150</v>
      </c>
      <c r="B157">
        <v>1</v>
      </c>
      <c r="C157">
        <v>0.5</v>
      </c>
      <c r="D157">
        <v>30</v>
      </c>
      <c r="E157">
        <f>AVERAGEIFS('Raw Data'!$N:$N,'Raw Data'!$B:$B,"=gemini-2.0-pro-exp-02-05",'Raw Data'!$C:$C,"=1.0",'Raw Data'!$D:$D,"=0.5",'Raw Data'!$E:$E,"=30")</f>
        <v>0</v>
      </c>
      <c r="F157">
        <f>AVERAGEIFS('Raw Data'!$J:$J,'Raw Data'!$B:$B,"=gemini-2.0-pro-exp-02-05",'Raw Data'!$C:$C,"=1.0",'Raw Data'!$D:$D,"=0.5",'Raw Data'!$E:$E,"=30")</f>
        <v>0</v>
      </c>
      <c r="G157">
        <f>AVERAGEIFS('Raw Data'!$K:$K,'Raw Data'!$B:$B,"=gemini-2.0-pro-exp-02-05",'Raw Data'!$C:$C,"=1.0",'Raw Data'!$D:$D,"=0.5",'Raw Data'!$E:$E,"=30")</f>
        <v>0</v>
      </c>
      <c r="H157">
        <f>IF(E157=MAX($E$2:$E$37),"Yes","")</f>
        <v>0</v>
      </c>
      <c r="I157">
        <f>A157 &amp; " (T:" &amp; B157 &amp; ", p:" &amp; C157 &amp; ", k:" &amp; D157 &amp; ")"</f>
        <v>0</v>
      </c>
      <c r="J157">
        <f>IF(E157=MAXIFS($E:$E,$A:$A,A157),"Yes","")</f>
        <v>0</v>
      </c>
    </row>
    <row r="162" spans="1:10">
      <c r="A162" t="s">
        <v>150</v>
      </c>
      <c r="B162">
        <v>1</v>
      </c>
      <c r="C162">
        <v>0.95</v>
      </c>
      <c r="D162">
        <v>100</v>
      </c>
      <c r="E162">
        <f>AVERAGEIFS('Raw Data'!$N:$N,'Raw Data'!$B:$B,"=gemini-2.0-pro-exp-02-05",'Raw Data'!$C:$C,"=1.0",'Raw Data'!$D:$D,"=0.95",'Raw Data'!$E:$E,"=100")</f>
        <v>0</v>
      </c>
      <c r="F162">
        <f>AVERAGEIFS('Raw Data'!$J:$J,'Raw Data'!$B:$B,"=gemini-2.0-pro-exp-02-05",'Raw Data'!$C:$C,"=1.0",'Raw Data'!$D:$D,"=0.95",'Raw Data'!$E:$E,"=100")</f>
        <v>0</v>
      </c>
      <c r="G162">
        <f>AVERAGEIFS('Raw Data'!$K:$K,'Raw Data'!$B:$B,"=gemini-2.0-pro-exp-02-05",'Raw Data'!$C:$C,"=1.0",'Raw Data'!$D:$D,"=0.95",'Raw Data'!$E:$E,"=100")</f>
        <v>0</v>
      </c>
      <c r="H162">
        <f>IF(E162=MAX($E$2:$E$37),"Yes","")</f>
        <v>0</v>
      </c>
      <c r="I162">
        <f>A162 &amp; " (T:" &amp; B162 &amp; ", p:" &amp; C162 &amp; ", k:" &amp; D162 &amp; ")"</f>
        <v>0</v>
      </c>
      <c r="J162">
        <f>IF(E162=MAXIFS($E:$E,$A:$A,A162),"Yes","")</f>
        <v>0</v>
      </c>
    </row>
    <row r="167" spans="1:10">
      <c r="A167" t="s">
        <v>150</v>
      </c>
      <c r="B167">
        <v>2</v>
      </c>
      <c r="C167">
        <v>0.1</v>
      </c>
      <c r="D167">
        <v>10</v>
      </c>
      <c r="E167">
        <f>AVERAGEIFS('Raw Data'!$N:$N,'Raw Data'!$B:$B,"=gemini-2.0-pro-exp-02-05",'Raw Data'!$C:$C,"=2.0",'Raw Data'!$D:$D,"=0.1",'Raw Data'!$E:$E,"=10")</f>
        <v>0</v>
      </c>
      <c r="F167">
        <f>AVERAGEIFS('Raw Data'!$J:$J,'Raw Data'!$B:$B,"=gemini-2.0-pro-exp-02-05",'Raw Data'!$C:$C,"=2.0",'Raw Data'!$D:$D,"=0.1",'Raw Data'!$E:$E,"=10")</f>
        <v>0</v>
      </c>
      <c r="G167">
        <f>AVERAGEIFS('Raw Data'!$K:$K,'Raw Data'!$B:$B,"=gemini-2.0-pro-exp-02-05",'Raw Data'!$C:$C,"=2.0",'Raw Data'!$D:$D,"=0.1",'Raw Data'!$E:$E,"=10")</f>
        <v>0</v>
      </c>
      <c r="H167">
        <f>IF(E167=MAX($E$2:$E$37),"Yes","")</f>
        <v>0</v>
      </c>
      <c r="I167">
        <f>A167 &amp; " (T:" &amp; B167 &amp; ", p:" &amp; C167 &amp; ", k:" &amp; D167 &amp; ")"</f>
        <v>0</v>
      </c>
      <c r="J167">
        <f>IF(E167=MAXIFS($E:$E,$A:$A,A167),"Yes","")</f>
        <v>0</v>
      </c>
    </row>
    <row r="172" spans="1:10">
      <c r="A172" t="s">
        <v>150</v>
      </c>
      <c r="B172">
        <v>2</v>
      </c>
      <c r="C172">
        <v>0.5</v>
      </c>
      <c r="D172">
        <v>30</v>
      </c>
      <c r="E172">
        <f>AVERAGEIFS('Raw Data'!$N:$N,'Raw Data'!$B:$B,"=gemini-2.0-pro-exp-02-05",'Raw Data'!$C:$C,"=2.0",'Raw Data'!$D:$D,"=0.5",'Raw Data'!$E:$E,"=30")</f>
        <v>0</v>
      </c>
      <c r="F172">
        <f>AVERAGEIFS('Raw Data'!$J:$J,'Raw Data'!$B:$B,"=gemini-2.0-pro-exp-02-05",'Raw Data'!$C:$C,"=2.0",'Raw Data'!$D:$D,"=0.5",'Raw Data'!$E:$E,"=30")</f>
        <v>0</v>
      </c>
      <c r="G172">
        <f>AVERAGEIFS('Raw Data'!$K:$K,'Raw Data'!$B:$B,"=gemini-2.0-pro-exp-02-05",'Raw Data'!$C:$C,"=2.0",'Raw Data'!$D:$D,"=0.5",'Raw Data'!$E:$E,"=30")</f>
        <v>0</v>
      </c>
      <c r="H172">
        <f>IF(E172=MAX($E$2:$E$37),"Yes","")</f>
        <v>0</v>
      </c>
      <c r="I172">
        <f>A172 &amp; " (T:" &amp; B172 &amp; ", p:" &amp; C172 &amp; ", k:" &amp; D172 &amp; ")"</f>
        <v>0</v>
      </c>
      <c r="J172">
        <f>IF(E172=MAXIFS($E:$E,$A:$A,A172),"Yes","")</f>
        <v>0</v>
      </c>
    </row>
    <row r="177" spans="1:10">
      <c r="A177" t="s">
        <v>150</v>
      </c>
      <c r="B177">
        <v>2</v>
      </c>
      <c r="C177">
        <v>0.95</v>
      </c>
      <c r="D177">
        <v>100</v>
      </c>
      <c r="E177">
        <f>AVERAGEIFS('Raw Data'!$N:$N,'Raw Data'!$B:$B,"=gemini-2.0-pro-exp-02-05",'Raw Data'!$C:$C,"=2.0",'Raw Data'!$D:$D,"=0.95",'Raw Data'!$E:$E,"=100")</f>
        <v>0</v>
      </c>
      <c r="F177">
        <f>AVERAGEIFS('Raw Data'!$J:$J,'Raw Data'!$B:$B,"=gemini-2.0-pro-exp-02-05",'Raw Data'!$C:$C,"=2.0",'Raw Data'!$D:$D,"=0.95",'Raw Data'!$E:$E,"=100")</f>
        <v>0</v>
      </c>
      <c r="G177">
        <f>AVERAGEIFS('Raw Data'!$K:$K,'Raw Data'!$B:$B,"=gemini-2.0-pro-exp-02-05",'Raw Data'!$C:$C,"=2.0",'Raw Data'!$D:$D,"=0.95",'Raw Data'!$E:$E,"=100")</f>
        <v>0</v>
      </c>
      <c r="H177">
        <f>IF(E177=MAX($E$2:$E$37),"Yes","")</f>
        <v>0</v>
      </c>
      <c r="I177">
        <f>A177 &amp; " (T:" &amp; B177 &amp; ", p:" &amp; C177 &amp; ", k:" &amp; D177 &amp; ")"</f>
        <v>0</v>
      </c>
      <c r="J177">
        <f>IF(E177=MAXIFS($E:$E,$A:$A,A177),"Yes","")</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cols>
    <col min="1" max="1" width="100.7109375" customWidth="1"/>
  </cols>
  <sheetData>
    <row r="1" spans="1:1">
      <c r="A1" t="s">
        <v>233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workbookViewId="0"/>
  </sheetViews>
  <sheetFormatPr defaultRowHeight="15"/>
  <sheetData>
    <row r="1" spans="1:1">
      <c r="A1" t="s">
        <v>234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Comparisons</vt:lpstr>
      <vt:lpstr>Explanation</vt:lpstr>
      <vt:lpstr>Charts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2025-03-20T19:10:11Z</dcterms:created>
  <dcterms:modified xsi:type="dcterms:W3CDTF">2025-03-20T19:10:11Z</dcterms:modified>
</cp:coreProperties>
</file>