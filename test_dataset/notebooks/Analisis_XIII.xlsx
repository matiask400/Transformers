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omparisons" sheetId="2" r:id="rId2"/>
    <sheet name="Explanation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<sst xmlns="http://schemas.openxmlformats.org/spreadsheetml/2006/main" count="789" uniqueCount="242">
  <si>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</si>
  <si>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</si>
  <si>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</si>
  <si>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</si>
  <si>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</si>
  <si>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</si>
  <si>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</si>
  <si>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</si>
  <si>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</si>
  <si>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</si>
  <si>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</si>
  <si>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</si>
  <si>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 Tests</t>
  </si>
  <si>
    <t>Accuracy</t>
  </si>
  <si>
    <t>Numeric Complexity</t>
  </si>
  <si>
    <t>gemini-2.0-flash-lite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</si>
  <si>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</si>
  <si>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True_x000D_
True_x000D_
True_x000D_
True_x000D_
True_x000D_
5/5</t>
  </si>
  <si>
    <t>loops: 4,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</si>
  <si>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</si>
  <si>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True_x000D_
8/8</t>
  </si>
  <si>
    <t>loops: 2, conditionals: 4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</si>
  <si>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</si>
  <si>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False_x000D_
True_x000D_
8/9</t>
  </si>
  <si>
    <t>loops: 1, conditionals: 4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</si>
  <si>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</si>
  <si>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14/14</t>
  </si>
  <si>
    <t>loops: 4, conditionals: 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</si>
  <si>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</si>
  <si>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True_x000D_
True_x000D_
True_x000D_
True_x000D_
True_x000D_
True_x000D_
6/6</t>
  </si>
  <si>
    <t>loops: 5,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</si>
  <si>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</si>
  <si>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</si>
  <si>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</si>
  <si>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loops: 1, conditionals: 7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</si>
  <si>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</si>
  <si>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</si>
  <si>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False_x000D_
True_x000D_
True_x000D_
True_x000D_
True_x000D_
True_x000D_
14/15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</si>
  <si>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</si>
  <si>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loops: 6, conditionals: 4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</si>
  <si>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</si>
  <si>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Correct tests: 4/4</t>
  </si>
  <si>
    <t>loops: 4, conditionals: 3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</si>
  <si>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</si>
  <si>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Correct tests: 8/8</t>
  </si>
  <si>
    <t>loops: 2, conditionals: 3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</si>
  <si>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</si>
  <si>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False_x000D_
Correct tests: 8/9</t>
  </si>
  <si>
    <t>loops: 1, conditionals: 3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</si>
  <si>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</si>
  <si>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</si>
  <si>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</si>
  <si>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6, conditionals: 3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</si>
  <si>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</si>
  <si>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Correct tests: 5/5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</si>
  <si>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</si>
  <si>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False_x000D_
Test 9: True_x000D_
Correct tests: 8/9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</si>
  <si>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</si>
  <si>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</si>
  <si>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</si>
  <si>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loops: 4, conditionals: 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</si>
  <si>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</si>
  <si>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Correct tests: 7/7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</si>
  <si>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</si>
  <si>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</si>
  <si>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False_x000D_
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</si>
  <si>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</si>
  <si>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True_x000D_
True_x000D_
9/9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</si>
  <si>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</si>
  <si>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True_x000D_
True_x000D_
16/16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</si>
  <si>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</si>
  <si>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</si>
  <si>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</si>
  <si>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</si>
  <si>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False_x000D_
True_x000D_
True_x000D_
16/17</t>
  </si>
  <si>
    <t>loops: 1, conditionals: 9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</si>
  <si>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</si>
  <si>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</si>
  <si>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</si>
  <si>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Test 1: True_x000D_
Test 2: True_x000D_
Test 3: True_x000D_
Test 4: True_x000D_
Test 5: True_x000D_
Test 6: True_x000D_
Test 7: True_x000D_
Test 8: True_x000D_
Test 9: True_x000D_
Correct tests: 9/9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</si>
  <si>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</si>
  <si>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</si>
  <si>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</si>
  <si>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</si>
  <si>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loops: 1, conditionals: 5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</si>
  <si>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</si>
  <si>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Test 1: False (Expected: [1, 1, 2, 3, 4, 4, 5, 6], Actual: [3, 4, 4, 5, 6])_x000D_
Test 2: True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</si>
  <si>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</si>
  <si>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</si>
  <si>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False_x000D_
Correct tests: 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</si>
  <si>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</si>
  <si>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Correct tests: 10/10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</si>
  <si>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</si>
  <si>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</si>
  <si>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loops: 1, conditionals: 6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</si>
  <si>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</si>
  <si>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7, conditionals: 2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</si>
  <si>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</si>
  <si>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True_x000D_
True_x000D_
True_x000D_
True_x000D_
4/4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</si>
  <si>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</si>
  <si>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</si>
  <si>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loops: 1, conditionals: 2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</si>
  <si>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</si>
  <si>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</si>
  <si>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</si>
  <si>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True_x000D_
True_x000D_
True_x000D_
True_x000D_
True_x000D_
True_x000D_
True_x000D_
7/7</t>
  </si>
  <si>
    <t>gemini-2.0-flash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</si>
  <si>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</si>
  <si>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</si>
  <si>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</si>
  <si>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</si>
  <si>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8/9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</si>
  <si>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</si>
  <si>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</si>
  <si>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</si>
  <si>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</si>
  <si>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True_x000D_
True_x000D_
True_x000D_
True_x000D_
10/10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</si>
  <si>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</si>
  <si>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</si>
  <si>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9/10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</si>
  <si>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</si>
  <si>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</si>
  <si>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True_x000D_
True_x000D_
True_x000D_
3/3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</si>
  <si>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</si>
  <si>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</si>
  <si>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</si>
  <si>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</si>
  <si>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loops: 6, conditionals: 5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</si>
  <si>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</si>
  <si>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</si>
  <si>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</si>
  <si>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</si>
  <si>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</si>
  <si>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</si>
  <si>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</si>
  <si>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</si>
  <si>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</si>
  <si>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</si>
  <si>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loops: 1, conditionals: 8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</si>
  <si>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</si>
  <si>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</si>
  <si>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True_x000D_
True_x000D_
True_x000D_
True_x000D_
13/14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</si>
  <si>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</si>
  <si>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</si>
  <si>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</si>
  <si>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</si>
  <si>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</si>
  <si>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</si>
  <si>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</si>
  <si>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</si>
  <si>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loops: 6, conditionals: 6</t>
  </si>
  <si>
    <t>gemini-2.0-pro-exp-02-05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</si>
  <si>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</si>
  <si>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</si>
  <si>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loops: 2, conditionals: 2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</si>
  <si>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</si>
  <si>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</si>
  <si>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</si>
  <si>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loops: 5, conditionals: 3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</si>
  <si>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</si>
  <si>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</si>
  <si>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</si>
  <si>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</si>
  <si>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</si>
  <si>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</si>
  <si>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</si>
  <si>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</si>
  <si>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</si>
  <si>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</si>
  <si>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</si>
  <si>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</si>
  <si>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</si>
  <si>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</si>
  <si>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</si>
  <si>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</si>
  <si>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Test 1: True_x000D_
Test 2: True_x000D_
Test 3: True_x000D_
Test 4: True_x000D_
_x000D_
4/4 tests passed.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</si>
  <si>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</si>
  <si>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Test 1: True_x000D_
Test 2: True_x000D_
Test 3: True_x000D_
Test 4: True_x000D_
Test 5: True_x000D_
Test 6: True_x000D_
Test 7: True_x000D_
_x000D_
7/7 tests passed.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</si>
  <si>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</si>
  <si>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Test 1: True_x000D_
Test 2: True_x000D_
Test 3: True_x000D_
Test 4: True_x000D_
Test 5: True_x000D_
_x000D_
5/5 tests passed.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</si>
  <si>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</si>
  <si>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Test 1: True_x000D_
Test 2: True_x000D_
Test 3: True_x000D_
Test 4: True_x000D_
Test 5: True_x000D_
Test 6: True_x000D_
Test 7: True_x000D_
Test 8: True_x000D_
Test 9: True_x000D_
_x000D_
9/9 tests passed.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</si>
  <si>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</si>
  <si>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Test 1: True_x000D_
Test 2: True_x000D_
Test 3: True_x000D_
_x000D_
3/3 tests passed.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</si>
  <si>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</si>
  <si>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Test 1: True_x000D_
Test 2: True_x000D_
Test 3: True_x000D_
Test 4: True_x000D_
4/4 tests correct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</si>
  <si>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</si>
  <si>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Test 1: True_x000D_
Test 2: True_x000D_
Test 3: True_x000D_
Test 4: True_x000D_
Test 5: True_x000D_
Test 6: True_x000D_
Test 7: True_x000D_
7/7 tests correct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</si>
  <si>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</si>
  <si>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Test 1: True_x000D_
Test 2: True_x000D_
Test 3: True_x000D_
Test 4: True_x000D_
Test 5: True_x000D_
5/5 tests correct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</si>
  <si>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</si>
  <si>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Test 1: True_x000D_
Test 2: True_x000D_
Test 3: True_x000D_
Test 4: True_x000D_
Test 5: True_x000D_
Test 6: True_x000D_
Test 7: True_x000D_
Test 8: True_x000D_
8/8 tests correct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</si>
  <si>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</si>
  <si>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Test 1: True_x000D_
Test 2: True_x000D_
Test 3: True_x000D_
3/3 tests correct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</si>
  <si>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</si>
  <si>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</si>
  <si>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</si>
  <si>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</si>
  <si>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</si>
  <si>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</si>
  <si>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</si>
  <si>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</si>
  <si>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</si>
  <si>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</si>
  <si>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</si>
  <si>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</si>
  <si>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</si>
  <si>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</si>
  <si>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loops: 5, conditionals: 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</si>
  <si>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</si>
  <si>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</si>
  <si>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</si>
  <si>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</si>
  <si>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</si>
  <si>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</si>
  <si>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loops: 4, conditionals: 1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</si>
  <si>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</si>
  <si>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</si>
  <si>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</si>
  <si>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</si>
  <si>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True_x000D_
True_x000D_
True_x000D_
True_x000D_
4/4 tests passed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</si>
  <si>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</si>
  <si>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</si>
  <si>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</si>
  <si>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</si>
  <si>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</si>
  <si>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Model</t>
  </si>
  <si>
    <t>Temperature</t>
  </si>
  <si>
    <t>Avg Accuracy</t>
  </si>
  <si>
    <t>Avg Time (s)</t>
  </si>
  <si>
    <t>Avg Memory (MB)</t>
  </si>
  <si>
    <t>Avg Complexity</t>
  </si>
  <si>
    <t>Config Label</t>
  </si>
  <si>
    <t>Rank Accuracy</t>
  </si>
  <si>
    <t>Rank Time</t>
  </si>
  <si>
    <t>Rank Memory</t>
  </si>
  <si>
    <t>Rank Complexity</t>
  </si>
  <si>
    <t>Composite Rank</t>
  </si>
  <si>
    <t>Global Best Composite?</t>
  </si>
  <si>
    <t>Best per Model Composite?</t>
  </si>
  <si>
    <t xml:space="preserve">EXPLICACIÓN DETALLADA DE VARIABLES Y FÓRMULAS:
Hoja 'Raw Data':
 - Columnas A-L: Datos crudos importados del CSV.
 - Columna M ('Total Tests'): =H + I
 - Columna N ('Accuracy'): =IF(M&gt;0, H/M, "")
 - Columna O ('Numeric Complexity'): Suma de los números extraídos de 'algorithmic_complexity' (formato: "loops: X, conditionals: Y")
   Fórmula (ejemplo en O2):
     =VALUE(TRIM(MID(L2, FIND(":",L2)+1, FIND(",",L2)-FIND(":",L2)-1)))
     + VALUE(TRIM(MID(L2, FIND("conditionals:",L2)+13, LEN(L2))))
Hoja 'Comparisons':
 - Se listan las configuraciones únicas: [model, temperature, top_p, top_k].
 - 'Avg Accuracy', 'Avg Time (s)', 'Avg Memory (MB)' y 'Avg Complexity' se calculan con AVERAGEIFS sobre 'Raw Data'.
 - 'Config Label' concatena model y parámetros para identificar la configuración completa.
 - Se generan rankings para cada métrica (Accuracy, Time, Memory, Complexity) mediante RANK.EQ.
 - 'Composite Rank' es el promedio de los 4 rankings, combinando las métricas.
 - 'Global Best Composite?' marca 'Yes' para la configuración con el Composite Rank mínimo global.
 - 'Best per Model Composite?' marca 'Yes' para la configuración de cada modelo con el Composite Rank mínimo.
Hoja 'Charts':
 - Los gráficos se generan usando objetos de chart nativos de Excel, referenciando directamente los rangos de 'Comparisons'.
 - En los gráficos de scatter se crea una serie por cada configuración (utilizando el 'Config Label'),
   lo que permite identificar para cada punto tanto el modelo como la configuración completa.
</t>
  </si>
  <si>
    <t>Visualización de Métricas por Configuración (ver 'Config Label' en Comparisons)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</si>
</sst>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Accuracy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Accuracy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Comparisons!$E$2:$E$37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Tiempo de Ejecución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Execution Time (s)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Comparisons!$F$2:$F$37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Uso de Memoria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Memory (MB)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Comparisons!$G$2:$G$37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vs. Accuracy (por Configuración)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Comparisons!$I$2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"/>
          <c:order val="1"/>
          <c:tx>
            <c:strRef>
              <c:f>Comparisons!$I$3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</c:f>
              <c:numCache>
                <c:formatCode>General</c:formatCode>
                <c:ptCount val="1"/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</c:numCache>
            </c:numRef>
          </c:yVal>
        </c:ser>
        <c:ser>
          <c:idx val="2"/>
          <c:order val="2"/>
          <c:tx>
            <c:strRef>
              <c:f>Comparisons!$I$4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Comparisons!$F$4</c:f>
              <c:numCache>
                <c:formatCode>General</c:formatCode>
                <c:ptCount val="1"/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</c:numCache>
            </c:numRef>
          </c:yVal>
        </c:ser>
        <c:ser>
          <c:idx val="3"/>
          <c:order val="3"/>
          <c:tx>
            <c:strRef>
              <c:f>Comparisons!$I$5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Comparisons!$F$5</c:f>
              <c:numCache>
                <c:formatCode>General</c:formatCode>
                <c:ptCount val="1"/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</c:numCache>
            </c:numRef>
          </c:yVal>
        </c:ser>
        <c:ser>
          <c:idx val="4"/>
          <c:order val="4"/>
          <c:tx>
            <c:strRef>
              <c:f>Comparisons!$I$6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Comparisons!$F$6</c:f>
              <c:numCache>
                <c:formatCode>General</c:formatCode>
                <c:ptCount val="1"/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</c:numCache>
            </c:numRef>
          </c:yVal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6"/>
          <c:order val="6"/>
          <c:tx>
            <c:strRef>
              <c:f>Comparisons!$I$8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Comparisons!$F$8</c:f>
              <c:numCache>
                <c:formatCode>General</c:formatCode>
                <c:ptCount val="1"/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</c:numCache>
            </c:numRef>
          </c:yVal>
        </c:ser>
        <c:ser>
          <c:idx val="7"/>
          <c:order val="7"/>
          <c:tx>
            <c:strRef>
              <c:f>Comparisons!$I$9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Comparisons!$F$9</c:f>
              <c:numCache>
                <c:formatCode>General</c:formatCode>
                <c:ptCount val="1"/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</c:numCache>
            </c:numRef>
          </c:yVal>
        </c:ser>
        <c:ser>
          <c:idx val="8"/>
          <c:order val="8"/>
          <c:tx>
            <c:strRef>
              <c:f>Comparisons!$I$10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Comparisons!$F$10</c:f>
              <c:numCache>
                <c:formatCode>General</c:formatCode>
                <c:ptCount val="1"/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</c:numCache>
            </c:numRef>
          </c:yVal>
        </c:ser>
        <c:ser>
          <c:idx val="9"/>
          <c:order val="9"/>
          <c:tx>
            <c:strRef>
              <c:f>Comparisons!$I$11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Comparisons!$F$11</c:f>
              <c:numCache>
                <c:formatCode>General</c:formatCode>
                <c:ptCount val="1"/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</c:numCache>
            </c:numRef>
          </c:yVal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1"/>
          <c:order val="11"/>
          <c:tx>
            <c:strRef>
              <c:f>Comparisons!$I$13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Comparisons!$F$13</c:f>
              <c:numCache>
                <c:formatCode>General</c:formatCode>
                <c:ptCount val="1"/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</c:numCache>
            </c:numRef>
          </c:yVal>
        </c:ser>
        <c:ser>
          <c:idx val="12"/>
          <c:order val="12"/>
          <c:tx>
            <c:strRef>
              <c:f>Comparisons!$I$14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Comparisons!$F$14</c:f>
              <c:numCache>
                <c:formatCode>General</c:formatCode>
                <c:ptCount val="1"/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</c:numCache>
            </c:numRef>
          </c:yVal>
        </c:ser>
        <c:ser>
          <c:idx val="13"/>
          <c:order val="13"/>
          <c:tx>
            <c:strRef>
              <c:f>Comparisons!$I$15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Comparisons!$F$15</c:f>
              <c:numCache>
                <c:formatCode>General</c:formatCode>
                <c:ptCount val="1"/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</c:numCache>
            </c:numRef>
          </c:yVal>
        </c:ser>
        <c:ser>
          <c:idx val="14"/>
          <c:order val="14"/>
          <c:tx>
            <c:strRef>
              <c:f>Comparisons!$I$16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Comparisons!$F$16</c:f>
              <c:numCache>
                <c:formatCode>General</c:formatCode>
                <c:ptCount val="1"/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</c:numCache>
            </c:numRef>
          </c:yVal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6"/>
          <c:order val="16"/>
          <c:tx>
            <c:strRef>
              <c:f>Comparisons!$I$18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Comparisons!$F$18</c:f>
              <c:numCache>
                <c:formatCode>General</c:formatCode>
                <c:ptCount val="1"/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</c:numCache>
            </c:numRef>
          </c:yVal>
        </c:ser>
        <c:ser>
          <c:idx val="17"/>
          <c:order val="17"/>
          <c:tx>
            <c:strRef>
              <c:f>Comparisons!$I$19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Comparisons!$F$19</c:f>
              <c:numCache>
                <c:formatCode>General</c:formatCode>
                <c:ptCount val="1"/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</c:numCache>
            </c:numRef>
          </c:yVal>
        </c:ser>
        <c:ser>
          <c:idx val="18"/>
          <c:order val="18"/>
          <c:tx>
            <c:strRef>
              <c:f>Comparisons!$I$20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Comparisons!$F$20</c:f>
              <c:numCache>
                <c:formatCode>General</c:formatCode>
                <c:ptCount val="1"/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</c:numCache>
            </c:numRef>
          </c:yVal>
        </c:ser>
        <c:ser>
          <c:idx val="19"/>
          <c:order val="19"/>
          <c:tx>
            <c:strRef>
              <c:f>Comparisons!$I$21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Comparisons!$F$21</c:f>
              <c:numCache>
                <c:formatCode>General</c:formatCode>
                <c:ptCount val="1"/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</c:numCache>
            </c:numRef>
          </c:yVal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1"/>
          <c:order val="21"/>
          <c:tx>
            <c:strRef>
              <c:f>Comparisons!$I$23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Comparisons!$F$23</c:f>
              <c:numCache>
                <c:formatCode>General</c:formatCode>
                <c:ptCount val="1"/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</c:numCache>
            </c:numRef>
          </c:yVal>
        </c:ser>
        <c:ser>
          <c:idx val="22"/>
          <c:order val="22"/>
          <c:tx>
            <c:strRef>
              <c:f>Comparisons!$I$24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Comparisons!$F$24</c:f>
              <c:numCache>
                <c:formatCode>General</c:formatCode>
                <c:ptCount val="1"/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</c:numCache>
            </c:numRef>
          </c:yVal>
        </c:ser>
        <c:ser>
          <c:idx val="23"/>
          <c:order val="23"/>
          <c:tx>
            <c:strRef>
              <c:f>Comparisons!$I$25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Comparisons!$F$25</c:f>
              <c:numCache>
                <c:formatCode>General</c:formatCode>
                <c:ptCount val="1"/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</c:numCache>
            </c:numRef>
          </c:yVal>
        </c:ser>
        <c:ser>
          <c:idx val="24"/>
          <c:order val="24"/>
          <c:tx>
            <c:strRef>
              <c:f>Comparisons!$I$26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Comparisons!$F$26</c:f>
              <c:numCache>
                <c:formatCode>General</c:formatCode>
                <c:ptCount val="1"/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</c:numCache>
            </c:numRef>
          </c:yVal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6"/>
          <c:order val="26"/>
          <c:tx>
            <c:strRef>
              <c:f>Comparisons!$I$28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Comparisons!$F$28</c:f>
              <c:numCache>
                <c:formatCode>General</c:formatCode>
                <c:ptCount val="1"/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</c:numCache>
            </c:numRef>
          </c:yVal>
        </c:ser>
        <c:ser>
          <c:idx val="27"/>
          <c:order val="27"/>
          <c:tx>
            <c:strRef>
              <c:f>Comparisons!$I$29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Comparisons!$F$29</c:f>
              <c:numCache>
                <c:formatCode>General</c:formatCode>
                <c:ptCount val="1"/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</c:numCache>
            </c:numRef>
          </c:yVal>
        </c:ser>
        <c:ser>
          <c:idx val="28"/>
          <c:order val="28"/>
          <c:tx>
            <c:strRef>
              <c:f>Comparisons!$I$30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Comparisons!$F$30</c:f>
              <c:numCache>
                <c:formatCode>General</c:formatCode>
                <c:ptCount val="1"/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</c:numCache>
            </c:numRef>
          </c:yVal>
        </c:ser>
        <c:ser>
          <c:idx val="29"/>
          <c:order val="29"/>
          <c:tx>
            <c:strRef>
              <c:f>Comparisons!$I$31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Comparisons!$F$31</c:f>
              <c:numCache>
                <c:formatCode>General</c:formatCode>
                <c:ptCount val="1"/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</c:numCache>
            </c:numRef>
          </c:yVal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1"/>
          <c:order val="31"/>
          <c:tx>
            <c:strRef>
              <c:f>Comparisons!$I$33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Comparisons!$F$33</c:f>
              <c:numCache>
                <c:formatCode>General</c:formatCode>
                <c:ptCount val="1"/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</c:numCache>
            </c:numRef>
          </c:yVal>
        </c:ser>
        <c:ser>
          <c:idx val="32"/>
          <c:order val="32"/>
          <c:tx>
            <c:strRef>
              <c:f>Comparisons!$I$34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Comparisons!$F$34</c:f>
              <c:numCache>
                <c:formatCode>General</c:formatCode>
                <c:ptCount val="1"/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</c:numCache>
            </c:numRef>
          </c:yVal>
        </c:ser>
        <c:ser>
          <c:idx val="33"/>
          <c:order val="33"/>
          <c:tx>
            <c:strRef>
              <c:f>Comparisons!$I$35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Comparisons!$F$35</c:f>
              <c:numCache>
                <c:formatCode>General</c:formatCode>
                <c:ptCount val="1"/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</c:numCache>
            </c:numRef>
          </c:yVal>
        </c:ser>
        <c:ser>
          <c:idx val="34"/>
          <c:order val="34"/>
          <c:tx>
            <c:strRef>
              <c:f>Comparisons!$I$36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Comparisons!$F$36</c:f>
              <c:numCache>
                <c:formatCode>General</c:formatCode>
                <c:ptCount val="1"/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</c:numCache>
            </c:numRef>
          </c:yVal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Execution Time (s)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Memory Usage vs. Accuracy (por Configuración)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Comparisons!$I$2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"/>
          <c:order val="1"/>
          <c:tx>
            <c:strRef>
              <c:f>Comparisons!$I$3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</c:f>
              <c:numCache>
                <c:formatCode>General</c:formatCode>
                <c:ptCount val="1"/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</c:numCache>
            </c:numRef>
          </c:yVal>
        </c:ser>
        <c:ser>
          <c:idx val="2"/>
          <c:order val="2"/>
          <c:tx>
            <c:strRef>
              <c:f>Comparisons!$I$4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Comparisons!$G$4</c:f>
              <c:numCache>
                <c:formatCode>General</c:formatCode>
                <c:ptCount val="1"/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</c:numCache>
            </c:numRef>
          </c:yVal>
        </c:ser>
        <c:ser>
          <c:idx val="3"/>
          <c:order val="3"/>
          <c:tx>
            <c:strRef>
              <c:f>Comparisons!$I$5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Comparisons!$G$5</c:f>
              <c:numCache>
                <c:formatCode>General</c:formatCode>
                <c:ptCount val="1"/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</c:numCache>
            </c:numRef>
          </c:yVal>
        </c:ser>
        <c:ser>
          <c:idx val="4"/>
          <c:order val="4"/>
          <c:tx>
            <c:strRef>
              <c:f>Comparisons!$I$6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Comparisons!$G$6</c:f>
              <c:numCache>
                <c:formatCode>General</c:formatCode>
                <c:ptCount val="1"/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</c:numCache>
            </c:numRef>
          </c:yVal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6"/>
          <c:order val="6"/>
          <c:tx>
            <c:strRef>
              <c:f>Comparisons!$I$8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Comparisons!$G$8</c:f>
              <c:numCache>
                <c:formatCode>General</c:formatCode>
                <c:ptCount val="1"/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</c:numCache>
            </c:numRef>
          </c:yVal>
        </c:ser>
        <c:ser>
          <c:idx val="7"/>
          <c:order val="7"/>
          <c:tx>
            <c:strRef>
              <c:f>Comparisons!$I$9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Comparisons!$G$9</c:f>
              <c:numCache>
                <c:formatCode>General</c:formatCode>
                <c:ptCount val="1"/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</c:numCache>
            </c:numRef>
          </c:yVal>
        </c:ser>
        <c:ser>
          <c:idx val="8"/>
          <c:order val="8"/>
          <c:tx>
            <c:strRef>
              <c:f>Comparisons!$I$10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Comparisons!$G$10</c:f>
              <c:numCache>
                <c:formatCode>General</c:formatCode>
                <c:ptCount val="1"/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</c:numCache>
            </c:numRef>
          </c:yVal>
        </c:ser>
        <c:ser>
          <c:idx val="9"/>
          <c:order val="9"/>
          <c:tx>
            <c:strRef>
              <c:f>Comparisons!$I$11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Comparisons!$G$11</c:f>
              <c:numCache>
                <c:formatCode>General</c:formatCode>
                <c:ptCount val="1"/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</c:numCache>
            </c:numRef>
          </c:yVal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1"/>
          <c:order val="11"/>
          <c:tx>
            <c:strRef>
              <c:f>Comparisons!$I$13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Comparisons!$G$13</c:f>
              <c:numCache>
                <c:formatCode>General</c:formatCode>
                <c:ptCount val="1"/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</c:numCache>
            </c:numRef>
          </c:yVal>
        </c:ser>
        <c:ser>
          <c:idx val="12"/>
          <c:order val="12"/>
          <c:tx>
            <c:strRef>
              <c:f>Comparisons!$I$14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Comparisons!$G$14</c:f>
              <c:numCache>
                <c:formatCode>General</c:formatCode>
                <c:ptCount val="1"/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</c:numCache>
            </c:numRef>
          </c:yVal>
        </c:ser>
        <c:ser>
          <c:idx val="13"/>
          <c:order val="13"/>
          <c:tx>
            <c:strRef>
              <c:f>Comparisons!$I$15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Comparisons!$G$15</c:f>
              <c:numCache>
                <c:formatCode>General</c:formatCode>
                <c:ptCount val="1"/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</c:numCache>
            </c:numRef>
          </c:yVal>
        </c:ser>
        <c:ser>
          <c:idx val="14"/>
          <c:order val="14"/>
          <c:tx>
            <c:strRef>
              <c:f>Comparisons!$I$16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Comparisons!$G$16</c:f>
              <c:numCache>
                <c:formatCode>General</c:formatCode>
                <c:ptCount val="1"/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</c:numCache>
            </c:numRef>
          </c:yVal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6"/>
          <c:order val="16"/>
          <c:tx>
            <c:strRef>
              <c:f>Comparisons!$I$18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Comparisons!$G$18</c:f>
              <c:numCache>
                <c:formatCode>General</c:formatCode>
                <c:ptCount val="1"/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</c:numCache>
            </c:numRef>
          </c:yVal>
        </c:ser>
        <c:ser>
          <c:idx val="17"/>
          <c:order val="17"/>
          <c:tx>
            <c:strRef>
              <c:f>Comparisons!$I$19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Comparisons!$G$19</c:f>
              <c:numCache>
                <c:formatCode>General</c:formatCode>
                <c:ptCount val="1"/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</c:numCache>
            </c:numRef>
          </c:yVal>
        </c:ser>
        <c:ser>
          <c:idx val="18"/>
          <c:order val="18"/>
          <c:tx>
            <c:strRef>
              <c:f>Comparisons!$I$20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Comparisons!$G$20</c:f>
              <c:numCache>
                <c:formatCode>General</c:formatCode>
                <c:ptCount val="1"/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</c:numCache>
            </c:numRef>
          </c:yVal>
        </c:ser>
        <c:ser>
          <c:idx val="19"/>
          <c:order val="19"/>
          <c:tx>
            <c:strRef>
              <c:f>Comparisons!$I$21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Comparisons!$G$21</c:f>
              <c:numCache>
                <c:formatCode>General</c:formatCode>
                <c:ptCount val="1"/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</c:numCache>
            </c:numRef>
          </c:yVal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1"/>
          <c:order val="21"/>
          <c:tx>
            <c:strRef>
              <c:f>Comparisons!$I$23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Comparisons!$G$23</c:f>
              <c:numCache>
                <c:formatCode>General</c:formatCode>
                <c:ptCount val="1"/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</c:numCache>
            </c:numRef>
          </c:yVal>
        </c:ser>
        <c:ser>
          <c:idx val="22"/>
          <c:order val="22"/>
          <c:tx>
            <c:strRef>
              <c:f>Comparisons!$I$24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Comparisons!$G$24</c:f>
              <c:numCache>
                <c:formatCode>General</c:formatCode>
                <c:ptCount val="1"/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</c:numCache>
            </c:numRef>
          </c:yVal>
        </c:ser>
        <c:ser>
          <c:idx val="23"/>
          <c:order val="23"/>
          <c:tx>
            <c:strRef>
              <c:f>Comparisons!$I$25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Comparisons!$G$25</c:f>
              <c:numCache>
                <c:formatCode>General</c:formatCode>
                <c:ptCount val="1"/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</c:numCache>
            </c:numRef>
          </c:yVal>
        </c:ser>
        <c:ser>
          <c:idx val="24"/>
          <c:order val="24"/>
          <c:tx>
            <c:strRef>
              <c:f>Comparisons!$I$26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Comparisons!$G$26</c:f>
              <c:numCache>
                <c:formatCode>General</c:formatCode>
                <c:ptCount val="1"/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</c:numCache>
            </c:numRef>
          </c:yVal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6"/>
          <c:order val="26"/>
          <c:tx>
            <c:strRef>
              <c:f>Comparisons!$I$28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Comparisons!$G$28</c:f>
              <c:numCache>
                <c:formatCode>General</c:formatCode>
                <c:ptCount val="1"/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</c:numCache>
            </c:numRef>
          </c:yVal>
        </c:ser>
        <c:ser>
          <c:idx val="27"/>
          <c:order val="27"/>
          <c:tx>
            <c:strRef>
              <c:f>Comparisons!$I$29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Comparisons!$G$29</c:f>
              <c:numCache>
                <c:formatCode>General</c:formatCode>
                <c:ptCount val="1"/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</c:numCache>
            </c:numRef>
          </c:yVal>
        </c:ser>
        <c:ser>
          <c:idx val="28"/>
          <c:order val="28"/>
          <c:tx>
            <c:strRef>
              <c:f>Comparisons!$I$30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Comparisons!$G$30</c:f>
              <c:numCache>
                <c:formatCode>General</c:formatCode>
                <c:ptCount val="1"/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</c:numCache>
            </c:numRef>
          </c:yVal>
        </c:ser>
        <c:ser>
          <c:idx val="29"/>
          <c:order val="29"/>
          <c:tx>
            <c:strRef>
              <c:f>Comparisons!$I$31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Comparisons!$G$31</c:f>
              <c:numCache>
                <c:formatCode>General</c:formatCode>
                <c:ptCount val="1"/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</c:numCache>
            </c:numRef>
          </c:yVal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1"/>
          <c:order val="31"/>
          <c:tx>
            <c:strRef>
              <c:f>Comparisons!$I$33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Comparisons!$G$33</c:f>
              <c:numCache>
                <c:formatCode>General</c:formatCode>
                <c:ptCount val="1"/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</c:numCache>
            </c:numRef>
          </c:yVal>
        </c:ser>
        <c:ser>
          <c:idx val="32"/>
          <c:order val="32"/>
          <c:tx>
            <c:strRef>
              <c:f>Comparisons!$I$34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Comparisons!$G$34</c:f>
              <c:numCache>
                <c:formatCode>General</c:formatCode>
                <c:ptCount val="1"/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</c:numCache>
            </c:numRef>
          </c:yVal>
        </c:ser>
        <c:ser>
          <c:idx val="33"/>
          <c:order val="33"/>
          <c:tx>
            <c:strRef>
              <c:f>Comparisons!$I$35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Comparisons!$G$35</c:f>
              <c:numCache>
                <c:formatCode>General</c:formatCode>
                <c:ptCount val="1"/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</c:numCache>
            </c:numRef>
          </c:yVal>
        </c:ser>
        <c:ser>
          <c:idx val="34"/>
          <c:order val="34"/>
          <c:tx>
            <c:strRef>
              <c:f>Comparisons!$I$36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Comparisons!$G$36</c:f>
              <c:numCache>
                <c:formatCode>General</c:formatCode>
                <c:ptCount val="1"/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</c:numCache>
            </c:numRef>
          </c:yVal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10</xdr:col>
      <xdr:colOff>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5" width="10.7109375" customWidth="1"/>
    <col min="6" max="6" width="60.7109375" customWidth="1"/>
    <col min="7" max="7" width="25.7109375" customWidth="1"/>
    <col min="8" max="9" width="12.7109375" customWidth="1"/>
    <col min="10" max="11" width="14.7109375" customWidth="1"/>
    <col min="12" max="12" width="25.7109375" customWidth="1"/>
    <col min="13" max="14" width="15.7109375" customWidth="1"/>
    <col min="15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0</v>
      </c>
      <c r="D2">
        <v>0.1</v>
      </c>
      <c r="E2">
        <v>10</v>
      </c>
      <c r="F2" t="s">
        <v>16</v>
      </c>
      <c r="G2" t="s">
        <v>17</v>
      </c>
      <c r="H2">
        <v>5</v>
      </c>
      <c r="I2">
        <v>0</v>
      </c>
      <c r="J2">
        <v>0.14</v>
      </c>
      <c r="K2">
        <v>2.02</v>
      </c>
      <c r="L2" t="s">
        <v>18</v>
      </c>
      <c r="M2">
        <f>H2+I2</f>
        <v>0</v>
      </c>
      <c r="N2">
        <f>IF(M2&gt;0,H2/M2,"")</f>
        <v>0</v>
      </c>
      <c r="O2">
        <f>VALUE(TRIM(MID(L2,FIND(":",L2)+1,FIND(",",L2)-FIND(":",L2)-1)))+VALUE(TRIM(MID(L2,FIND("conditionals:",L2)+13,LEN(L2))))</f>
        <v>0</v>
      </c>
    </row>
    <row r="3" spans="1:15">
      <c r="A3">
        <v>2</v>
      </c>
      <c r="B3" t="s">
        <v>15</v>
      </c>
      <c r="C3">
        <v>0</v>
      </c>
      <c r="D3">
        <v>0.1</v>
      </c>
      <c r="E3">
        <v>10</v>
      </c>
      <c r="F3" t="s">
        <v>19</v>
      </c>
      <c r="G3" t="s">
        <v>20</v>
      </c>
      <c r="H3">
        <v>8</v>
      </c>
      <c r="I3">
        <v>0</v>
      </c>
      <c r="J3">
        <v>0.11</v>
      </c>
      <c r="K3">
        <v>2.01</v>
      </c>
      <c r="L3" t="s">
        <v>21</v>
      </c>
      <c r="M3">
        <f>H3+I3</f>
        <v>0</v>
      </c>
      <c r="N3">
        <f>IF(M3&gt;0,H3/M3,"")</f>
        <v>0</v>
      </c>
      <c r="O3">
        <f>VALUE(TRIM(MID(L3,FIND(":",L3)+1,FIND(",",L3)-FIND(":",L3)-1)))+VALUE(TRIM(MID(L3,FIND("conditionals:",L3)+13,LEN(L3))))</f>
        <v>0</v>
      </c>
    </row>
    <row r="4" spans="1:15">
      <c r="A4">
        <v>3</v>
      </c>
      <c r="B4" t="s">
        <v>15</v>
      </c>
      <c r="C4">
        <v>0</v>
      </c>
      <c r="D4">
        <v>0.1</v>
      </c>
      <c r="E4">
        <v>10</v>
      </c>
      <c r="F4" t="s">
        <v>22</v>
      </c>
      <c r="G4" t="s">
        <v>23</v>
      </c>
      <c r="H4">
        <v>8</v>
      </c>
      <c r="I4">
        <v>1</v>
      </c>
      <c r="J4">
        <v>0.11</v>
      </c>
      <c r="K4">
        <v>2.01</v>
      </c>
      <c r="L4" t="s">
        <v>24</v>
      </c>
      <c r="M4">
        <f>H4+I4</f>
        <v>0</v>
      </c>
      <c r="N4">
        <f>IF(M4&gt;0,H4/M4,"")</f>
        <v>0</v>
      </c>
      <c r="O4">
        <f>VALUE(TRIM(MID(L4,FIND(":",L4)+1,FIND(",",L4)-FIND(":",L4)-1)))+VALUE(TRIM(MID(L4,FIND("conditionals:",L4)+13,LEN(L4))))</f>
        <v>0</v>
      </c>
    </row>
    <row r="5" spans="1:15">
      <c r="A5">
        <v>4</v>
      </c>
      <c r="B5" t="s">
        <v>15</v>
      </c>
      <c r="C5">
        <v>0</v>
      </c>
      <c r="D5">
        <v>0.1</v>
      </c>
      <c r="E5">
        <v>10</v>
      </c>
      <c r="F5" t="s">
        <v>25</v>
      </c>
      <c r="G5" t="s">
        <v>26</v>
      </c>
      <c r="H5">
        <v>14</v>
      </c>
      <c r="I5">
        <v>0</v>
      </c>
      <c r="J5">
        <v>0.11</v>
      </c>
      <c r="K5">
        <v>2.05</v>
      </c>
      <c r="L5" t="s">
        <v>27</v>
      </c>
      <c r="M5">
        <f>H5+I5</f>
        <v>0</v>
      </c>
      <c r="N5">
        <f>IF(M5&gt;0,H5/M5,"")</f>
        <v>0</v>
      </c>
      <c r="O5">
        <f>VALUE(TRIM(MID(L5,FIND(":",L5)+1,FIND(",",L5)-FIND(":",L5)-1)))+VALUE(TRIM(MID(L5,FIND("conditionals:",L5)+13,LEN(L5))))</f>
        <v>0</v>
      </c>
    </row>
    <row r="6" spans="1:15">
      <c r="A6">
        <v>5</v>
      </c>
      <c r="B6" t="s">
        <v>15</v>
      </c>
      <c r="C6">
        <v>0</v>
      </c>
      <c r="D6">
        <v>0.1</v>
      </c>
      <c r="E6">
        <v>10</v>
      </c>
      <c r="F6" t="s">
        <v>28</v>
      </c>
      <c r="G6" t="s">
        <v>29</v>
      </c>
      <c r="H6">
        <v>6</v>
      </c>
      <c r="I6">
        <v>0</v>
      </c>
      <c r="J6">
        <v>0.11</v>
      </c>
      <c r="K6">
        <v>2</v>
      </c>
      <c r="L6" t="s">
        <v>30</v>
      </c>
      <c r="M6">
        <f>H6+I6</f>
        <v>0</v>
      </c>
      <c r="N6">
        <f>IF(M6&gt;0,H6/M6,"")</f>
        <v>0</v>
      </c>
      <c r="O6">
        <f>VALUE(TRIM(MID(L6,FIND(":",L6)+1,FIND(",",L6)-FIND(":",L6)-1)))+VALUE(TRIM(MID(L6,FIND("conditionals:",L6)+13,LEN(L6))))</f>
        <v>0</v>
      </c>
    </row>
    <row r="7" spans="1:15">
      <c r="A7">
        <v>1</v>
      </c>
      <c r="B7" t="s">
        <v>15</v>
      </c>
      <c r="C7">
        <v>0</v>
      </c>
      <c r="D7">
        <v>0.5</v>
      </c>
      <c r="E7">
        <v>30</v>
      </c>
      <c r="F7" t="s">
        <v>16</v>
      </c>
      <c r="G7" t="s">
        <v>17</v>
      </c>
      <c r="H7">
        <v>5</v>
      </c>
      <c r="I7">
        <v>0</v>
      </c>
      <c r="J7">
        <v>0.11</v>
      </c>
      <c r="K7">
        <v>2.01</v>
      </c>
      <c r="L7" t="s">
        <v>18</v>
      </c>
      <c r="M7">
        <f>H7+I7</f>
        <v>0</v>
      </c>
      <c r="N7">
        <f>IF(M7&gt;0,H7/M7,"")</f>
        <v>0</v>
      </c>
      <c r="O7">
        <f>VALUE(TRIM(MID(L7,FIND(":",L7)+1,FIND(",",L7)-FIND(":",L7)-1)))+VALUE(TRIM(MID(L7,FIND("conditionals:",L7)+13,LEN(L7))))</f>
        <v>0</v>
      </c>
    </row>
    <row r="8" spans="1:15">
      <c r="A8">
        <v>2</v>
      </c>
      <c r="B8" t="s">
        <v>15</v>
      </c>
      <c r="C8">
        <v>0</v>
      </c>
      <c r="D8">
        <v>0.5</v>
      </c>
      <c r="E8">
        <v>30</v>
      </c>
      <c r="F8" t="s">
        <v>19</v>
      </c>
      <c r="G8" t="s">
        <v>20</v>
      </c>
      <c r="H8">
        <v>8</v>
      </c>
      <c r="I8">
        <v>0</v>
      </c>
      <c r="J8">
        <v>0.11</v>
      </c>
      <c r="K8">
        <v>2.01</v>
      </c>
      <c r="L8" t="s">
        <v>21</v>
      </c>
      <c r="M8">
        <f>H8+I8</f>
        <v>0</v>
      </c>
      <c r="N8">
        <f>IF(M8&gt;0,H8/M8,"")</f>
        <v>0</v>
      </c>
      <c r="O8">
        <f>VALUE(TRIM(MID(L8,FIND(":",L8)+1,FIND(",",L8)-FIND(":",L8)-1)))+VALUE(TRIM(MID(L8,FIND("conditionals:",L8)+13,LEN(L8))))</f>
        <v>0</v>
      </c>
    </row>
    <row r="9" spans="1:15">
      <c r="A9">
        <v>3</v>
      </c>
      <c r="B9" t="s">
        <v>15</v>
      </c>
      <c r="C9">
        <v>0</v>
      </c>
      <c r="D9">
        <v>0.5</v>
      </c>
      <c r="E9">
        <v>30</v>
      </c>
      <c r="F9" t="s">
        <v>22</v>
      </c>
      <c r="G9" t="s">
        <v>23</v>
      </c>
      <c r="H9">
        <v>8</v>
      </c>
      <c r="I9">
        <v>1</v>
      </c>
      <c r="J9">
        <v>0.11</v>
      </c>
      <c r="K9">
        <v>2.01</v>
      </c>
      <c r="L9" t="s">
        <v>24</v>
      </c>
      <c r="M9">
        <f>H9+I9</f>
        <v>0</v>
      </c>
      <c r="N9">
        <f>IF(M9&gt;0,H9/M9,"")</f>
        <v>0</v>
      </c>
      <c r="O9">
        <f>VALUE(TRIM(MID(L9,FIND(":",L9)+1,FIND(",",L9)-FIND(":",L9)-1)))+VALUE(TRIM(MID(L9,FIND("conditionals:",L9)+13,LEN(L9))))</f>
        <v>0</v>
      </c>
    </row>
    <row r="10" spans="1:15">
      <c r="A10">
        <v>4</v>
      </c>
      <c r="B10" t="s">
        <v>15</v>
      </c>
      <c r="C10">
        <v>0</v>
      </c>
      <c r="D10">
        <v>0.5</v>
      </c>
      <c r="E10">
        <v>30</v>
      </c>
      <c r="F10" t="s">
        <v>25</v>
      </c>
      <c r="G10" t="s">
        <v>26</v>
      </c>
      <c r="H10">
        <v>14</v>
      </c>
      <c r="I10">
        <v>0</v>
      </c>
      <c r="J10">
        <v>0.11</v>
      </c>
      <c r="K10">
        <v>2.04</v>
      </c>
      <c r="L10" t="s">
        <v>27</v>
      </c>
      <c r="M10">
        <f>H10+I10</f>
        <v>0</v>
      </c>
      <c r="N10">
        <f>IF(M10&gt;0,H10/M10,"")</f>
        <v>0</v>
      </c>
      <c r="O10">
        <f>VALUE(TRIM(MID(L10,FIND(":",L10)+1,FIND(",",L10)-FIND(":",L10)-1)))+VALUE(TRIM(MID(L10,FIND("conditionals:",L10)+13,LEN(L10))))</f>
        <v>0</v>
      </c>
    </row>
    <row r="11" spans="1:15">
      <c r="A11">
        <v>5</v>
      </c>
      <c r="B11" t="s">
        <v>15</v>
      </c>
      <c r="C11">
        <v>0</v>
      </c>
      <c r="D11">
        <v>0.5</v>
      </c>
      <c r="E11">
        <v>30</v>
      </c>
      <c r="F11" t="s">
        <v>28</v>
      </c>
      <c r="G11" t="s">
        <v>29</v>
      </c>
      <c r="H11">
        <v>6</v>
      </c>
      <c r="I11">
        <v>0</v>
      </c>
      <c r="J11">
        <v>0.11</v>
      </c>
      <c r="K11">
        <v>2.05</v>
      </c>
      <c r="L11" t="s">
        <v>30</v>
      </c>
      <c r="M11">
        <f>H11+I11</f>
        <v>0</v>
      </c>
      <c r="N11">
        <f>IF(M11&gt;0,H11/M11,"")</f>
        <v>0</v>
      </c>
      <c r="O11">
        <f>VALUE(TRIM(MID(L11,FIND(":",L11)+1,FIND(",",L11)-FIND(":",L11)-1)))+VALUE(TRIM(MID(L11,FIND("conditionals:",L11)+13,LEN(L11))))</f>
        <v>0</v>
      </c>
    </row>
    <row r="12" spans="1:15">
      <c r="A12">
        <v>1</v>
      </c>
      <c r="B12" t="s">
        <v>15</v>
      </c>
      <c r="C12">
        <v>0</v>
      </c>
      <c r="D12">
        <v>0.95</v>
      </c>
      <c r="E12">
        <v>100</v>
      </c>
      <c r="F12" t="s">
        <v>16</v>
      </c>
      <c r="G12" t="s">
        <v>17</v>
      </c>
      <c r="H12">
        <v>5</v>
      </c>
      <c r="I12">
        <v>0</v>
      </c>
      <c r="J12">
        <v>0.11</v>
      </c>
      <c r="K12">
        <v>2.01</v>
      </c>
      <c r="L12" t="s">
        <v>18</v>
      </c>
      <c r="M12">
        <f>H12+I12</f>
        <v>0</v>
      </c>
      <c r="N12">
        <f>IF(M12&gt;0,H12/M12,"")</f>
        <v>0</v>
      </c>
      <c r="O12">
        <f>VALUE(TRIM(MID(L12,FIND(":",L12)+1,FIND(",",L12)-FIND(":",L12)-1)))+VALUE(TRIM(MID(L12,FIND("conditionals:",L12)+13,LEN(L12))))</f>
        <v>0</v>
      </c>
    </row>
    <row r="13" spans="1:15">
      <c r="A13">
        <v>2</v>
      </c>
      <c r="B13" t="s">
        <v>15</v>
      </c>
      <c r="C13">
        <v>0</v>
      </c>
      <c r="D13">
        <v>0.95</v>
      </c>
      <c r="E13">
        <v>100</v>
      </c>
      <c r="F13" t="s">
        <v>31</v>
      </c>
      <c r="G13" t="s">
        <v>20</v>
      </c>
      <c r="H13">
        <v>8</v>
      </c>
      <c r="I13">
        <v>0</v>
      </c>
      <c r="J13">
        <v>0.11</v>
      </c>
      <c r="K13">
        <v>2.01</v>
      </c>
      <c r="L13" t="s">
        <v>21</v>
      </c>
      <c r="M13">
        <f>H13+I13</f>
        <v>0</v>
      </c>
      <c r="N13">
        <f>IF(M13&gt;0,H13/M13,"")</f>
        <v>0</v>
      </c>
      <c r="O13">
        <f>VALUE(TRIM(MID(L13,FIND(":",L13)+1,FIND(",",L13)-FIND(":",L13)-1)))+VALUE(TRIM(MID(L13,FIND("conditionals:",L13)+13,LEN(L13))))</f>
        <v>0</v>
      </c>
    </row>
    <row r="14" spans="1:15">
      <c r="A14">
        <v>3</v>
      </c>
      <c r="B14" t="s">
        <v>15</v>
      </c>
      <c r="C14">
        <v>0</v>
      </c>
      <c r="D14">
        <v>0.95</v>
      </c>
      <c r="E14">
        <v>100</v>
      </c>
      <c r="F14" t="s">
        <v>32</v>
      </c>
      <c r="G14" t="s">
        <v>23</v>
      </c>
      <c r="H14">
        <v>8</v>
      </c>
      <c r="I14">
        <v>1</v>
      </c>
      <c r="J14">
        <v>0.11</v>
      </c>
      <c r="K14">
        <v>2.03</v>
      </c>
      <c r="L14" t="s">
        <v>24</v>
      </c>
      <c r="M14">
        <f>H14+I14</f>
        <v>0</v>
      </c>
      <c r="N14">
        <f>IF(M14&gt;0,H14/M14,"")</f>
        <v>0</v>
      </c>
      <c r="O14">
        <f>VALUE(TRIM(MID(L14,FIND(":",L14)+1,FIND(",",L14)-FIND(":",L14)-1)))+VALUE(TRIM(MID(L14,FIND("conditionals:",L14)+13,LEN(L14))))</f>
        <v>0</v>
      </c>
    </row>
    <row r="15" spans="1:15">
      <c r="A15">
        <v>4</v>
      </c>
      <c r="B15" t="s">
        <v>15</v>
      </c>
      <c r="C15">
        <v>0</v>
      </c>
      <c r="D15">
        <v>0.95</v>
      </c>
      <c r="E15">
        <v>100</v>
      </c>
      <c r="F15" t="s">
        <v>33</v>
      </c>
      <c r="G15" t="s">
        <v>26</v>
      </c>
      <c r="H15">
        <v>14</v>
      </c>
      <c r="I15">
        <v>0</v>
      </c>
      <c r="J15">
        <v>0.11</v>
      </c>
      <c r="K15">
        <v>2.03</v>
      </c>
      <c r="L15" t="s">
        <v>34</v>
      </c>
      <c r="M15">
        <f>H15+I15</f>
        <v>0</v>
      </c>
      <c r="N15">
        <f>IF(M15&gt;0,H15/M15,"")</f>
        <v>0</v>
      </c>
      <c r="O15">
        <f>VALUE(TRIM(MID(L15,FIND(":",L15)+1,FIND(",",L15)-FIND(":",L15)-1)))+VALUE(TRIM(MID(L15,FIND("conditionals:",L15)+13,LEN(L15))))</f>
        <v>0</v>
      </c>
    </row>
    <row r="16" spans="1:15">
      <c r="A16">
        <v>5</v>
      </c>
      <c r="B16" t="s">
        <v>15</v>
      </c>
      <c r="C16">
        <v>0</v>
      </c>
      <c r="D16">
        <v>0.95</v>
      </c>
      <c r="E16">
        <v>100</v>
      </c>
      <c r="F16" t="s">
        <v>35</v>
      </c>
      <c r="G16" t="s">
        <v>29</v>
      </c>
      <c r="H16">
        <v>6</v>
      </c>
      <c r="I16">
        <v>0</v>
      </c>
      <c r="J16">
        <v>0.11</v>
      </c>
      <c r="K16">
        <v>2.06</v>
      </c>
      <c r="L16" t="s">
        <v>30</v>
      </c>
      <c r="M16">
        <f>H16+I16</f>
        <v>0</v>
      </c>
      <c r="N16">
        <f>IF(M16&gt;0,H16/M16,"")</f>
        <v>0</v>
      </c>
      <c r="O16">
        <f>VALUE(TRIM(MID(L16,FIND(":",L16)+1,FIND(",",L16)-FIND(":",L16)-1)))+VALUE(TRIM(MID(L16,FIND("conditionals:",L16)+13,LEN(L16))))</f>
        <v>0</v>
      </c>
    </row>
    <row r="17" spans="1:15">
      <c r="A17">
        <v>1</v>
      </c>
      <c r="B17" t="s">
        <v>15</v>
      </c>
      <c r="C17">
        <v>0.5</v>
      </c>
      <c r="D17">
        <v>0.1</v>
      </c>
      <c r="E17">
        <v>10</v>
      </c>
      <c r="F17" t="s">
        <v>16</v>
      </c>
      <c r="G17" t="s">
        <v>17</v>
      </c>
      <c r="H17">
        <v>5</v>
      </c>
      <c r="I17">
        <v>0</v>
      </c>
      <c r="J17">
        <v>0.11</v>
      </c>
      <c r="K17">
        <v>2.03</v>
      </c>
      <c r="L17" t="s">
        <v>18</v>
      </c>
      <c r="M17">
        <f>H17+I17</f>
        <v>0</v>
      </c>
      <c r="N17">
        <f>IF(M17&gt;0,H17/M17,"")</f>
        <v>0</v>
      </c>
      <c r="O17">
        <f>VALUE(TRIM(MID(L17,FIND(":",L17)+1,FIND(",",L17)-FIND(":",L17)-1)))+VALUE(TRIM(MID(L17,FIND("conditionals:",L17)+13,LEN(L17))))</f>
        <v>0</v>
      </c>
    </row>
    <row r="18" spans="1:15">
      <c r="A18">
        <v>2</v>
      </c>
      <c r="B18" t="s">
        <v>15</v>
      </c>
      <c r="C18">
        <v>0.5</v>
      </c>
      <c r="D18">
        <v>0.1</v>
      </c>
      <c r="E18">
        <v>10</v>
      </c>
      <c r="F18" t="s">
        <v>19</v>
      </c>
      <c r="G18" t="s">
        <v>20</v>
      </c>
      <c r="H18">
        <v>8</v>
      </c>
      <c r="I18">
        <v>0</v>
      </c>
      <c r="J18">
        <v>0.11</v>
      </c>
      <c r="K18">
        <v>2.03</v>
      </c>
      <c r="L18" t="s">
        <v>21</v>
      </c>
      <c r="M18">
        <f>H18+I18</f>
        <v>0</v>
      </c>
      <c r="N18">
        <f>IF(M18&gt;0,H18/M18,"")</f>
        <v>0</v>
      </c>
      <c r="O18">
        <f>VALUE(TRIM(MID(L18,FIND(":",L18)+1,FIND(",",L18)-FIND(":",L18)-1)))+VALUE(TRIM(MID(L18,FIND("conditionals:",L18)+13,LEN(L18))))</f>
        <v>0</v>
      </c>
    </row>
    <row r="19" spans="1:15">
      <c r="A19">
        <v>3</v>
      </c>
      <c r="B19" t="s">
        <v>15</v>
      </c>
      <c r="C19">
        <v>0.5</v>
      </c>
      <c r="D19">
        <v>0.1</v>
      </c>
      <c r="E19">
        <v>10</v>
      </c>
      <c r="F19" t="s">
        <v>22</v>
      </c>
      <c r="G19" t="s">
        <v>23</v>
      </c>
      <c r="H19">
        <v>8</v>
      </c>
      <c r="I19">
        <v>1</v>
      </c>
      <c r="J19">
        <v>0.11</v>
      </c>
      <c r="K19">
        <v>2.01</v>
      </c>
      <c r="L19" t="s">
        <v>24</v>
      </c>
      <c r="M19">
        <f>H19+I19</f>
        <v>0</v>
      </c>
      <c r="N19">
        <f>IF(M19&gt;0,H19/M19,"")</f>
        <v>0</v>
      </c>
      <c r="O19">
        <f>VALUE(TRIM(MID(L19,FIND(":",L19)+1,FIND(",",L19)-FIND(":",L19)-1)))+VALUE(TRIM(MID(L19,FIND("conditionals:",L19)+13,LEN(L19))))</f>
        <v>0</v>
      </c>
    </row>
    <row r="20" spans="1:15">
      <c r="A20">
        <v>4</v>
      </c>
      <c r="B20" t="s">
        <v>15</v>
      </c>
      <c r="C20">
        <v>0.5</v>
      </c>
      <c r="D20">
        <v>0.1</v>
      </c>
      <c r="E20">
        <v>10</v>
      </c>
      <c r="F20" t="s">
        <v>36</v>
      </c>
      <c r="G20" t="s">
        <v>37</v>
      </c>
      <c r="H20">
        <v>14</v>
      </c>
      <c r="I20">
        <v>1</v>
      </c>
      <c r="J20">
        <v>0.11</v>
      </c>
      <c r="K20">
        <v>2</v>
      </c>
      <c r="L20" t="s">
        <v>34</v>
      </c>
      <c r="M20">
        <f>H20+I20</f>
        <v>0</v>
      </c>
      <c r="N20">
        <f>IF(M20&gt;0,H20/M20,"")</f>
        <v>0</v>
      </c>
      <c r="O20">
        <f>VALUE(TRIM(MID(L20,FIND(":",L20)+1,FIND(",",L20)-FIND(":",L20)-1)))+VALUE(TRIM(MID(L20,FIND("conditionals:",L20)+13,LEN(L20))))</f>
        <v>0</v>
      </c>
    </row>
    <row r="21" spans="1:15">
      <c r="A21">
        <v>5</v>
      </c>
      <c r="B21" t="s">
        <v>15</v>
      </c>
      <c r="C21">
        <v>0.5</v>
      </c>
      <c r="D21">
        <v>0.1</v>
      </c>
      <c r="E21">
        <v>10</v>
      </c>
      <c r="F21" t="s">
        <v>38</v>
      </c>
      <c r="G21" t="s">
        <v>29</v>
      </c>
      <c r="H21">
        <v>6</v>
      </c>
      <c r="I21">
        <v>0</v>
      </c>
      <c r="J21">
        <v>0.11</v>
      </c>
      <c r="K21">
        <v>2.04</v>
      </c>
      <c r="L21" t="s">
        <v>39</v>
      </c>
      <c r="M21">
        <f>H21+I21</f>
        <v>0</v>
      </c>
      <c r="N21">
        <f>IF(M21&gt;0,H21/M21,"")</f>
        <v>0</v>
      </c>
      <c r="O21">
        <f>VALUE(TRIM(MID(L21,FIND(":",L21)+1,FIND(",",L21)-FIND(":",L21)-1)))+VALUE(TRIM(MID(L21,FIND("conditionals:",L21)+13,LEN(L21))))</f>
        <v>0</v>
      </c>
    </row>
    <row r="22" spans="1:15">
      <c r="A22">
        <v>1</v>
      </c>
      <c r="B22" t="s">
        <v>15</v>
      </c>
      <c r="C22">
        <v>0.5</v>
      </c>
      <c r="D22">
        <v>0.5</v>
      </c>
      <c r="E22">
        <v>30</v>
      </c>
      <c r="F22" t="s">
        <v>40</v>
      </c>
      <c r="G22" t="s">
        <v>41</v>
      </c>
      <c r="H22">
        <v>4</v>
      </c>
      <c r="I22">
        <v>0</v>
      </c>
      <c r="J22">
        <v>0.11</v>
      </c>
      <c r="K22">
        <v>2.01</v>
      </c>
      <c r="L22" t="s">
        <v>42</v>
      </c>
      <c r="M22">
        <f>H22+I22</f>
        <v>0</v>
      </c>
      <c r="N22">
        <f>IF(M22&gt;0,H22/M22,"")</f>
        <v>0</v>
      </c>
      <c r="O22">
        <f>VALUE(TRIM(MID(L22,FIND(":",L22)+1,FIND(",",L22)-FIND(":",L22)-1)))+VALUE(TRIM(MID(L22,FIND("conditionals:",L22)+13,LEN(L22))))</f>
        <v>0</v>
      </c>
    </row>
    <row r="23" spans="1:15">
      <c r="A23">
        <v>2</v>
      </c>
      <c r="B23" t="s">
        <v>15</v>
      </c>
      <c r="C23">
        <v>0.5</v>
      </c>
      <c r="D23">
        <v>0.5</v>
      </c>
      <c r="E23">
        <v>30</v>
      </c>
      <c r="F23" t="s">
        <v>43</v>
      </c>
      <c r="G23" t="s">
        <v>44</v>
      </c>
      <c r="H23">
        <v>8</v>
      </c>
      <c r="I23">
        <v>0</v>
      </c>
      <c r="J23">
        <v>0.11</v>
      </c>
      <c r="K23">
        <v>2.02</v>
      </c>
      <c r="L23" t="s">
        <v>45</v>
      </c>
      <c r="M23">
        <f>H23+I23</f>
        <v>0</v>
      </c>
      <c r="N23">
        <f>IF(M23&gt;0,H23/M23,"")</f>
        <v>0</v>
      </c>
      <c r="O23">
        <f>VALUE(TRIM(MID(L23,FIND(":",L23)+1,FIND(",",L23)-FIND(":",L23)-1)))+VALUE(TRIM(MID(L23,FIND("conditionals:",L23)+13,LEN(L23))))</f>
        <v>0</v>
      </c>
    </row>
    <row r="24" spans="1:15">
      <c r="A24">
        <v>3</v>
      </c>
      <c r="B24" t="s">
        <v>15</v>
      </c>
      <c r="C24">
        <v>0.5</v>
      </c>
      <c r="D24">
        <v>0.5</v>
      </c>
      <c r="E24">
        <v>30</v>
      </c>
      <c r="F24" t="s">
        <v>46</v>
      </c>
      <c r="G24" t="s">
        <v>47</v>
      </c>
      <c r="H24">
        <v>8</v>
      </c>
      <c r="I24">
        <v>1</v>
      </c>
      <c r="J24">
        <v>0.11</v>
      </c>
      <c r="K24">
        <v>2.04</v>
      </c>
      <c r="L24" t="s">
        <v>48</v>
      </c>
      <c r="M24">
        <f>H24+I24</f>
        <v>0</v>
      </c>
      <c r="N24">
        <f>IF(M24&gt;0,H24/M24,"")</f>
        <v>0</v>
      </c>
      <c r="O24">
        <f>VALUE(TRIM(MID(L24,FIND(":",L24)+1,FIND(",",L24)-FIND(":",L24)-1)))+VALUE(TRIM(MID(L24,FIND("conditionals:",L24)+13,LEN(L24))))</f>
        <v>0</v>
      </c>
    </row>
    <row r="25" spans="1:15">
      <c r="A25">
        <v>4</v>
      </c>
      <c r="B25" t="s">
        <v>15</v>
      </c>
      <c r="C25">
        <v>0.5</v>
      </c>
      <c r="D25">
        <v>0.5</v>
      </c>
      <c r="E25">
        <v>30</v>
      </c>
      <c r="F25" t="s">
        <v>49</v>
      </c>
      <c r="G25" t="s">
        <v>50</v>
      </c>
      <c r="H25">
        <v>11</v>
      </c>
      <c r="I25">
        <v>2</v>
      </c>
      <c r="J25">
        <v>0.11</v>
      </c>
      <c r="K25">
        <v>2.01</v>
      </c>
      <c r="L25" t="s">
        <v>24</v>
      </c>
      <c r="M25">
        <f>H25+I25</f>
        <v>0</v>
      </c>
      <c r="N25">
        <f>IF(M25&gt;0,H25/M25,"")</f>
        <v>0</v>
      </c>
      <c r="O25">
        <f>VALUE(TRIM(MID(L25,FIND(":",L25)+1,FIND(",",L25)-FIND(":",L25)-1)))+VALUE(TRIM(MID(L25,FIND("conditionals:",L25)+13,LEN(L25))))</f>
        <v>0</v>
      </c>
    </row>
    <row r="26" spans="1:15">
      <c r="A26">
        <v>5</v>
      </c>
      <c r="B26" t="s">
        <v>15</v>
      </c>
      <c r="C26">
        <v>0.5</v>
      </c>
      <c r="D26">
        <v>0.5</v>
      </c>
      <c r="E26">
        <v>30</v>
      </c>
      <c r="F26" t="s">
        <v>51</v>
      </c>
      <c r="G26" t="s">
        <v>44</v>
      </c>
      <c r="H26">
        <v>8</v>
      </c>
      <c r="I26">
        <v>0</v>
      </c>
      <c r="J26">
        <v>0.11</v>
      </c>
      <c r="K26">
        <v>2.01</v>
      </c>
      <c r="L26" t="s">
        <v>52</v>
      </c>
      <c r="M26">
        <f>H26+I26</f>
        <v>0</v>
      </c>
      <c r="N26">
        <f>IF(M26&gt;0,H26/M26,"")</f>
        <v>0</v>
      </c>
      <c r="O26">
        <f>VALUE(TRIM(MID(L26,FIND(":",L26)+1,FIND(",",L26)-FIND(":",L26)-1)))+VALUE(TRIM(MID(L26,FIND("conditionals:",L26)+13,LEN(L26))))</f>
        <v>0</v>
      </c>
    </row>
    <row r="27" spans="1:15">
      <c r="A27">
        <v>1</v>
      </c>
      <c r="B27" t="s">
        <v>15</v>
      </c>
      <c r="C27">
        <v>0.5</v>
      </c>
      <c r="D27">
        <v>0.95</v>
      </c>
      <c r="E27">
        <v>100</v>
      </c>
      <c r="F27" t="s">
        <v>53</v>
      </c>
      <c r="G27" t="s">
        <v>54</v>
      </c>
      <c r="H27">
        <v>5</v>
      </c>
      <c r="I27">
        <v>0</v>
      </c>
      <c r="J27">
        <v>0.11</v>
      </c>
      <c r="K27">
        <v>2.02</v>
      </c>
      <c r="L27" t="s">
        <v>42</v>
      </c>
      <c r="M27">
        <f>H27+I27</f>
        <v>0</v>
      </c>
      <c r="N27">
        <f>IF(M27&gt;0,H27/M27,"")</f>
        <v>0</v>
      </c>
      <c r="O27">
        <f>VALUE(TRIM(MID(L27,FIND(":",L27)+1,FIND(",",L27)-FIND(":",L27)-1)))+VALUE(TRIM(MID(L27,FIND("conditionals:",L27)+13,LEN(L27))))</f>
        <v>0</v>
      </c>
    </row>
    <row r="28" spans="1:15">
      <c r="A28">
        <v>2</v>
      </c>
      <c r="B28" t="s">
        <v>15</v>
      </c>
      <c r="C28">
        <v>0.5</v>
      </c>
      <c r="D28">
        <v>0.95</v>
      </c>
      <c r="E28">
        <v>100</v>
      </c>
      <c r="F28" t="s">
        <v>55</v>
      </c>
      <c r="G28" t="s">
        <v>56</v>
      </c>
      <c r="H28">
        <v>8</v>
      </c>
      <c r="I28">
        <v>1</v>
      </c>
      <c r="J28">
        <v>0.11</v>
      </c>
      <c r="K28">
        <v>2.02</v>
      </c>
      <c r="L28" t="s">
        <v>45</v>
      </c>
      <c r="M28">
        <f>H28+I28</f>
        <v>0</v>
      </c>
      <c r="N28">
        <f>IF(M28&gt;0,H28/M28,"")</f>
        <v>0</v>
      </c>
      <c r="O28">
        <f>VALUE(TRIM(MID(L28,FIND(":",L28)+1,FIND(",",L28)-FIND(":",L28)-1)))+VALUE(TRIM(MID(L28,FIND("conditionals:",L28)+13,LEN(L28))))</f>
        <v>0</v>
      </c>
    </row>
    <row r="29" spans="1:15">
      <c r="A29">
        <v>3</v>
      </c>
      <c r="B29" t="s">
        <v>15</v>
      </c>
      <c r="C29">
        <v>0.5</v>
      </c>
      <c r="D29">
        <v>0.95</v>
      </c>
      <c r="E29">
        <v>100</v>
      </c>
      <c r="F29" t="s">
        <v>57</v>
      </c>
      <c r="G29" t="s">
        <v>56</v>
      </c>
      <c r="H29">
        <v>8</v>
      </c>
      <c r="I29">
        <v>1</v>
      </c>
      <c r="J29">
        <v>0.11</v>
      </c>
      <c r="K29">
        <v>2.03</v>
      </c>
      <c r="L29" t="s">
        <v>48</v>
      </c>
      <c r="M29">
        <f>H29+I29</f>
        <v>0</v>
      </c>
      <c r="N29">
        <f>IF(M29&gt;0,H29/M29,"")</f>
        <v>0</v>
      </c>
      <c r="O29">
        <f>VALUE(TRIM(MID(L29,FIND(":",L29)+1,FIND(",",L29)-FIND(":",L29)-1)))+VALUE(TRIM(MID(L29,FIND("conditionals:",L29)+13,LEN(L29))))</f>
        <v>0</v>
      </c>
    </row>
    <row r="30" spans="1:15">
      <c r="A30">
        <v>4</v>
      </c>
      <c r="B30" t="s">
        <v>15</v>
      </c>
      <c r="C30">
        <v>0.5</v>
      </c>
      <c r="D30">
        <v>0.95</v>
      </c>
      <c r="E30">
        <v>100</v>
      </c>
      <c r="F30" t="s">
        <v>58</v>
      </c>
      <c r="G30" t="s">
        <v>59</v>
      </c>
      <c r="H30">
        <v>16</v>
      </c>
      <c r="I30">
        <v>2</v>
      </c>
      <c r="J30">
        <v>0.11</v>
      </c>
      <c r="K30">
        <v>2.03</v>
      </c>
      <c r="L30" t="s">
        <v>60</v>
      </c>
      <c r="M30">
        <f>H30+I30</f>
        <v>0</v>
      </c>
      <c r="N30">
        <f>IF(M30&gt;0,H30/M30,"")</f>
        <v>0</v>
      </c>
      <c r="O30">
        <f>VALUE(TRIM(MID(L30,FIND(":",L30)+1,FIND(",",L30)-FIND(":",L30)-1)))+VALUE(TRIM(MID(L30,FIND("conditionals:",L30)+13,LEN(L30))))</f>
        <v>0</v>
      </c>
    </row>
    <row r="31" spans="1:15">
      <c r="A31">
        <v>5</v>
      </c>
      <c r="B31" t="s">
        <v>15</v>
      </c>
      <c r="C31">
        <v>0.5</v>
      </c>
      <c r="D31">
        <v>0.95</v>
      </c>
      <c r="E31">
        <v>100</v>
      </c>
      <c r="F31" t="s">
        <v>61</v>
      </c>
      <c r="G31" t="s">
        <v>62</v>
      </c>
      <c r="H31">
        <v>7</v>
      </c>
      <c r="I31">
        <v>0</v>
      </c>
      <c r="J31">
        <v>0.11</v>
      </c>
      <c r="K31">
        <v>2.02</v>
      </c>
      <c r="L31" t="s">
        <v>52</v>
      </c>
      <c r="M31">
        <f>H31+I31</f>
        <v>0</v>
      </c>
      <c r="N31">
        <f>IF(M31&gt;0,H31/M31,"")</f>
        <v>0</v>
      </c>
      <c r="O31">
        <f>VALUE(TRIM(MID(L31,FIND(":",L31)+1,FIND(",",L31)-FIND(":",L31)-1)))+VALUE(TRIM(MID(L31,FIND("conditionals:",L31)+13,LEN(L31))))</f>
        <v>0</v>
      </c>
    </row>
    <row r="32" spans="1:15">
      <c r="A32">
        <v>1</v>
      </c>
      <c r="B32" t="s">
        <v>15</v>
      </c>
      <c r="C32">
        <v>1</v>
      </c>
      <c r="D32">
        <v>0.1</v>
      </c>
      <c r="E32">
        <v>10</v>
      </c>
      <c r="F32" t="s">
        <v>63</v>
      </c>
      <c r="G32" t="s">
        <v>17</v>
      </c>
      <c r="H32">
        <v>5</v>
      </c>
      <c r="I32">
        <v>0</v>
      </c>
      <c r="J32">
        <v>0.11</v>
      </c>
      <c r="K32">
        <v>2.03</v>
      </c>
      <c r="L32" t="s">
        <v>18</v>
      </c>
      <c r="M32">
        <f>H32+I32</f>
        <v>0</v>
      </c>
      <c r="N32">
        <f>IF(M32&gt;0,H32/M32,"")</f>
        <v>0</v>
      </c>
      <c r="O32">
        <f>VALUE(TRIM(MID(L32,FIND(":",L32)+1,FIND(",",L32)-FIND(":",L32)-1)))+VALUE(TRIM(MID(L32,FIND("conditionals:",L32)+13,LEN(L32))))</f>
        <v>0</v>
      </c>
    </row>
    <row r="33" spans="1:15">
      <c r="A33">
        <v>2</v>
      </c>
      <c r="B33" t="s">
        <v>15</v>
      </c>
      <c r="C33">
        <v>1</v>
      </c>
      <c r="D33">
        <v>0.1</v>
      </c>
      <c r="E33">
        <v>10</v>
      </c>
      <c r="F33" t="s">
        <v>64</v>
      </c>
      <c r="G33" t="s">
        <v>65</v>
      </c>
      <c r="H33">
        <v>7</v>
      </c>
      <c r="I33">
        <v>1</v>
      </c>
      <c r="J33">
        <v>0.11</v>
      </c>
      <c r="K33">
        <v>2.02</v>
      </c>
      <c r="L33" t="s">
        <v>21</v>
      </c>
      <c r="M33">
        <f>H33+I33</f>
        <v>0</v>
      </c>
      <c r="N33">
        <f>IF(M33&gt;0,H33/M33,"")</f>
        <v>0</v>
      </c>
      <c r="O33">
        <f>VALUE(TRIM(MID(L33,FIND(":",L33)+1,FIND(",",L33)-FIND(":",L33)-1)))+VALUE(TRIM(MID(L33,FIND("conditionals:",L33)+13,LEN(L33))))</f>
        <v>0</v>
      </c>
    </row>
    <row r="34" spans="1:15">
      <c r="A34">
        <v>3</v>
      </c>
      <c r="B34" t="s">
        <v>15</v>
      </c>
      <c r="C34">
        <v>1</v>
      </c>
      <c r="D34">
        <v>0.1</v>
      </c>
      <c r="E34">
        <v>10</v>
      </c>
      <c r="F34" t="s">
        <v>66</v>
      </c>
      <c r="G34" t="s">
        <v>67</v>
      </c>
      <c r="H34">
        <v>9</v>
      </c>
      <c r="I34">
        <v>0</v>
      </c>
      <c r="J34">
        <v>0.11</v>
      </c>
      <c r="K34">
        <v>2.01</v>
      </c>
      <c r="L34" t="s">
        <v>24</v>
      </c>
      <c r="M34">
        <f>H34+I34</f>
        <v>0</v>
      </c>
      <c r="N34">
        <f>IF(M34&gt;0,H34/M34,"")</f>
        <v>0</v>
      </c>
      <c r="O34">
        <f>VALUE(TRIM(MID(L34,FIND(":",L34)+1,FIND(",",L34)-FIND(":",L34)-1)))+VALUE(TRIM(MID(L34,FIND("conditionals:",L34)+13,LEN(L34))))</f>
        <v>0</v>
      </c>
    </row>
    <row r="35" spans="1:15">
      <c r="A35">
        <v>4</v>
      </c>
      <c r="B35" t="s">
        <v>15</v>
      </c>
      <c r="C35">
        <v>1</v>
      </c>
      <c r="D35">
        <v>0.1</v>
      </c>
      <c r="E35">
        <v>10</v>
      </c>
      <c r="F35" t="s">
        <v>68</v>
      </c>
      <c r="G35" t="s">
        <v>69</v>
      </c>
      <c r="H35">
        <v>16</v>
      </c>
      <c r="I35">
        <v>0</v>
      </c>
      <c r="J35">
        <v>0.11</v>
      </c>
      <c r="K35">
        <v>2.04</v>
      </c>
      <c r="L35" t="s">
        <v>34</v>
      </c>
      <c r="M35">
        <f>H35+I35</f>
        <v>0</v>
      </c>
      <c r="N35">
        <f>IF(M35&gt;0,H35/M35,"")</f>
        <v>0</v>
      </c>
      <c r="O35">
        <f>VALUE(TRIM(MID(L35,FIND(":",L35)+1,FIND(",",L35)-FIND(":",L35)-1)))+VALUE(TRIM(MID(L35,FIND("conditionals:",L35)+13,LEN(L35))))</f>
        <v>0</v>
      </c>
    </row>
    <row r="36" spans="1:15">
      <c r="A36">
        <v>5</v>
      </c>
      <c r="B36" t="s">
        <v>15</v>
      </c>
      <c r="C36">
        <v>1</v>
      </c>
      <c r="D36">
        <v>0.1</v>
      </c>
      <c r="E36">
        <v>10</v>
      </c>
      <c r="F36" t="s">
        <v>70</v>
      </c>
      <c r="G36" t="s">
        <v>17</v>
      </c>
      <c r="H36">
        <v>5</v>
      </c>
      <c r="I36">
        <v>0</v>
      </c>
      <c r="J36">
        <v>0.11</v>
      </c>
      <c r="K36">
        <v>2.03</v>
      </c>
      <c r="L36" t="s">
        <v>30</v>
      </c>
      <c r="M36">
        <f>H36+I36</f>
        <v>0</v>
      </c>
      <c r="N36">
        <f>IF(M36&gt;0,H36/M36,"")</f>
        <v>0</v>
      </c>
      <c r="O36">
        <f>VALUE(TRIM(MID(L36,FIND(":",L36)+1,FIND(",",L36)-FIND(":",L36)-1)))+VALUE(TRIM(MID(L36,FIND("conditionals:",L36)+13,LEN(L36))))</f>
        <v>0</v>
      </c>
    </row>
    <row r="37" spans="1:15">
      <c r="A37">
        <v>1</v>
      </c>
      <c r="B37" t="s">
        <v>15</v>
      </c>
      <c r="C37">
        <v>1</v>
      </c>
      <c r="D37">
        <v>0.5</v>
      </c>
      <c r="E37">
        <v>30</v>
      </c>
      <c r="F37" t="s">
        <v>16</v>
      </c>
      <c r="G37" t="s">
        <v>17</v>
      </c>
      <c r="H37">
        <v>5</v>
      </c>
      <c r="I37">
        <v>0</v>
      </c>
      <c r="J37">
        <v>0.11</v>
      </c>
      <c r="K37">
        <v>2.03</v>
      </c>
      <c r="L37" t="s">
        <v>18</v>
      </c>
      <c r="M37">
        <f>H37+I37</f>
        <v>0</v>
      </c>
      <c r="N37">
        <f>IF(M37&gt;0,H37/M37,"")</f>
        <v>0</v>
      </c>
      <c r="O37">
        <f>VALUE(TRIM(MID(L37,FIND(":",L37)+1,FIND(",",L37)-FIND(":",L37)-1)))+VALUE(TRIM(MID(L37,FIND("conditionals:",L37)+13,LEN(L37))))</f>
        <v>0</v>
      </c>
    </row>
    <row r="38" spans="1:15">
      <c r="A38">
        <v>2</v>
      </c>
      <c r="B38" t="s">
        <v>15</v>
      </c>
      <c r="C38">
        <v>1</v>
      </c>
      <c r="D38">
        <v>0.5</v>
      </c>
      <c r="E38">
        <v>30</v>
      </c>
      <c r="F38" t="s">
        <v>71</v>
      </c>
      <c r="G38" t="s">
        <v>20</v>
      </c>
      <c r="H38">
        <v>8</v>
      </c>
      <c r="I38">
        <v>0</v>
      </c>
      <c r="J38">
        <v>0.11</v>
      </c>
      <c r="K38">
        <v>2.03</v>
      </c>
      <c r="L38" t="s">
        <v>21</v>
      </c>
      <c r="M38">
        <f>H38+I38</f>
        <v>0</v>
      </c>
      <c r="N38">
        <f>IF(M38&gt;0,H38/M38,"")</f>
        <v>0</v>
      </c>
      <c r="O38">
        <f>VALUE(TRIM(MID(L38,FIND(":",L38)+1,FIND(",",L38)-FIND(":",L38)-1)))+VALUE(TRIM(MID(L38,FIND("conditionals:",L38)+13,LEN(L38))))</f>
        <v>0</v>
      </c>
    </row>
    <row r="39" spans="1:15">
      <c r="A39">
        <v>3</v>
      </c>
      <c r="B39" t="s">
        <v>15</v>
      </c>
      <c r="C39">
        <v>1</v>
      </c>
      <c r="D39">
        <v>0.5</v>
      </c>
      <c r="E39">
        <v>30</v>
      </c>
      <c r="F39" t="s">
        <v>72</v>
      </c>
      <c r="G39" t="s">
        <v>67</v>
      </c>
      <c r="H39">
        <v>9</v>
      </c>
      <c r="I39">
        <v>0</v>
      </c>
      <c r="J39">
        <v>0.11</v>
      </c>
      <c r="K39">
        <v>2.06</v>
      </c>
      <c r="L39" t="s">
        <v>24</v>
      </c>
      <c r="M39">
        <f>H39+I39</f>
        <v>0</v>
      </c>
      <c r="N39">
        <f>IF(M39&gt;0,H39/M39,"")</f>
        <v>0</v>
      </c>
      <c r="O39">
        <f>VALUE(TRIM(MID(L39,FIND(":",L39)+1,FIND(",",L39)-FIND(":",L39)-1)))+VALUE(TRIM(MID(L39,FIND("conditionals:",L39)+13,LEN(L39))))</f>
        <v>0</v>
      </c>
    </row>
    <row r="40" spans="1:15">
      <c r="A40">
        <v>4</v>
      </c>
      <c r="B40" t="s">
        <v>15</v>
      </c>
      <c r="C40">
        <v>1</v>
      </c>
      <c r="D40">
        <v>0.5</v>
      </c>
      <c r="E40">
        <v>30</v>
      </c>
      <c r="F40" t="s">
        <v>73</v>
      </c>
      <c r="G40" t="s">
        <v>74</v>
      </c>
      <c r="H40">
        <v>16</v>
      </c>
      <c r="I40">
        <v>1</v>
      </c>
      <c r="J40">
        <v>0.12</v>
      </c>
      <c r="K40">
        <v>2.03</v>
      </c>
      <c r="L40" t="s">
        <v>75</v>
      </c>
      <c r="M40">
        <f>H40+I40</f>
        <v>0</v>
      </c>
      <c r="N40">
        <f>IF(M40&gt;0,H40/M40,"")</f>
        <v>0</v>
      </c>
      <c r="O40">
        <f>VALUE(TRIM(MID(L40,FIND(":",L40)+1,FIND(",",L40)-FIND(":",L40)-1)))+VALUE(TRIM(MID(L40,FIND("conditionals:",L40)+13,LEN(L40))))</f>
        <v>0</v>
      </c>
    </row>
    <row r="41" spans="1:15">
      <c r="A41">
        <v>5</v>
      </c>
      <c r="B41" t="s">
        <v>15</v>
      </c>
      <c r="C41">
        <v>1</v>
      </c>
      <c r="D41">
        <v>0.5</v>
      </c>
      <c r="E41">
        <v>30</v>
      </c>
      <c r="F41" t="s">
        <v>76</v>
      </c>
      <c r="G41" t="s">
        <v>29</v>
      </c>
      <c r="H41">
        <v>6</v>
      </c>
      <c r="I41">
        <v>0</v>
      </c>
      <c r="J41">
        <v>0.12</v>
      </c>
      <c r="K41">
        <v>2.01</v>
      </c>
      <c r="L41" t="s">
        <v>30</v>
      </c>
      <c r="M41">
        <f>H41+I41</f>
        <v>0</v>
      </c>
      <c r="N41">
        <f>IF(M41&gt;0,H41/M41,"")</f>
        <v>0</v>
      </c>
      <c r="O41">
        <f>VALUE(TRIM(MID(L41,FIND(":",L41)+1,FIND(",",L41)-FIND(":",L41)-1)))+VALUE(TRIM(MID(L41,FIND("conditionals:",L41)+13,LEN(L41))))</f>
        <v>0</v>
      </c>
    </row>
    <row r="42" spans="1:15">
      <c r="A42">
        <v>1</v>
      </c>
      <c r="B42" t="s">
        <v>15</v>
      </c>
      <c r="C42">
        <v>1</v>
      </c>
      <c r="D42">
        <v>0.95</v>
      </c>
      <c r="E42">
        <v>100</v>
      </c>
      <c r="F42" t="s">
        <v>77</v>
      </c>
      <c r="G42" t="s">
        <v>54</v>
      </c>
      <c r="H42">
        <v>5</v>
      </c>
      <c r="I42">
        <v>0</v>
      </c>
      <c r="J42">
        <v>0.11</v>
      </c>
      <c r="K42">
        <v>2.04</v>
      </c>
      <c r="L42" t="s">
        <v>18</v>
      </c>
      <c r="M42">
        <f>H42+I42</f>
        <v>0</v>
      </c>
      <c r="N42">
        <f>IF(M42&gt;0,H42/M42,"")</f>
        <v>0</v>
      </c>
      <c r="O42">
        <f>VALUE(TRIM(MID(L42,FIND(":",L42)+1,FIND(",",L42)-FIND(":",L42)-1)))+VALUE(TRIM(MID(L42,FIND("conditionals:",L42)+13,LEN(L42))))</f>
        <v>0</v>
      </c>
    </row>
    <row r="43" spans="1:15">
      <c r="A43">
        <v>2</v>
      </c>
      <c r="B43" t="s">
        <v>15</v>
      </c>
      <c r="C43">
        <v>1</v>
      </c>
      <c r="D43">
        <v>0.95</v>
      </c>
      <c r="E43">
        <v>100</v>
      </c>
      <c r="F43" t="s">
        <v>78</v>
      </c>
      <c r="G43" t="s">
        <v>79</v>
      </c>
      <c r="H43">
        <v>9</v>
      </c>
      <c r="I43">
        <v>0</v>
      </c>
      <c r="J43">
        <v>0.11</v>
      </c>
      <c r="K43">
        <v>2.01</v>
      </c>
      <c r="L43" t="s">
        <v>21</v>
      </c>
      <c r="M43">
        <f>H43+I43</f>
        <v>0</v>
      </c>
      <c r="N43">
        <f>IF(M43&gt;0,H43/M43,"")</f>
        <v>0</v>
      </c>
      <c r="O43">
        <f>VALUE(TRIM(MID(L43,FIND(":",L43)+1,FIND(",",L43)-FIND(":",L43)-1)))+VALUE(TRIM(MID(L43,FIND("conditionals:",L43)+13,LEN(L43))))</f>
        <v>0</v>
      </c>
    </row>
    <row r="44" spans="1:15">
      <c r="A44">
        <v>3</v>
      </c>
      <c r="B44" t="s">
        <v>15</v>
      </c>
      <c r="C44">
        <v>1</v>
      </c>
      <c r="D44">
        <v>0.95</v>
      </c>
      <c r="E44">
        <v>100</v>
      </c>
      <c r="F44" t="s">
        <v>80</v>
      </c>
      <c r="G44" t="s">
        <v>81</v>
      </c>
      <c r="H44">
        <v>10</v>
      </c>
      <c r="I44">
        <v>1</v>
      </c>
      <c r="J44">
        <v>0.11</v>
      </c>
      <c r="K44">
        <v>2.04</v>
      </c>
      <c r="L44" t="s">
        <v>24</v>
      </c>
      <c r="M44">
        <f>H44+I44</f>
        <v>0</v>
      </c>
      <c r="N44">
        <f>IF(M44&gt;0,H44/M44,"")</f>
        <v>0</v>
      </c>
      <c r="O44">
        <f>VALUE(TRIM(MID(L44,FIND(":",L44)+1,FIND(",",L44)-FIND(":",L44)-1)))+VALUE(TRIM(MID(L44,FIND("conditionals:",L44)+13,LEN(L44))))</f>
        <v>0</v>
      </c>
    </row>
    <row r="45" spans="1:15">
      <c r="A45">
        <v>4</v>
      </c>
      <c r="B45" t="s">
        <v>15</v>
      </c>
      <c r="C45">
        <v>1</v>
      </c>
      <c r="D45">
        <v>0.95</v>
      </c>
      <c r="E45">
        <v>100</v>
      </c>
      <c r="F45" t="s">
        <v>82</v>
      </c>
      <c r="G45" t="s">
        <v>83</v>
      </c>
      <c r="H45">
        <v>11</v>
      </c>
      <c r="I45">
        <v>2</v>
      </c>
      <c r="J45">
        <v>0.11</v>
      </c>
      <c r="K45">
        <v>2.02</v>
      </c>
      <c r="L45" t="s">
        <v>84</v>
      </c>
      <c r="M45">
        <f>H45+I45</f>
        <v>0</v>
      </c>
      <c r="N45">
        <f>IF(M45&gt;0,H45/M45,"")</f>
        <v>0</v>
      </c>
      <c r="O45">
        <f>VALUE(TRIM(MID(L45,FIND(":",L45)+1,FIND(",",L45)-FIND(":",L45)-1)))+VALUE(TRIM(MID(L45,FIND("conditionals:",L45)+13,LEN(L45))))</f>
        <v>0</v>
      </c>
    </row>
    <row r="46" spans="1:15">
      <c r="A46">
        <v>5</v>
      </c>
      <c r="B46" t="s">
        <v>15</v>
      </c>
      <c r="C46">
        <v>1</v>
      </c>
      <c r="D46">
        <v>0.95</v>
      </c>
      <c r="E46">
        <v>100</v>
      </c>
      <c r="F46" t="s">
        <v>85</v>
      </c>
      <c r="G46" t="s">
        <v>86</v>
      </c>
      <c r="H46">
        <v>1</v>
      </c>
      <c r="I46">
        <v>1</v>
      </c>
      <c r="J46">
        <v>0.11</v>
      </c>
      <c r="K46">
        <v>2.01</v>
      </c>
      <c r="L46" t="s">
        <v>30</v>
      </c>
      <c r="M46">
        <f>H46+I46</f>
        <v>0</v>
      </c>
      <c r="N46">
        <f>IF(M46&gt;0,H46/M46,"")</f>
        <v>0</v>
      </c>
      <c r="O46">
        <f>VALUE(TRIM(MID(L46,FIND(":",L46)+1,FIND(",",L46)-FIND(":",L46)-1)))+VALUE(TRIM(MID(L46,FIND("conditionals:",L46)+13,LEN(L46))))</f>
        <v>0</v>
      </c>
    </row>
    <row r="47" spans="1:15">
      <c r="A47">
        <v>1</v>
      </c>
      <c r="B47" t="s">
        <v>15</v>
      </c>
      <c r="C47">
        <v>2</v>
      </c>
      <c r="D47">
        <v>0.1</v>
      </c>
      <c r="E47">
        <v>10</v>
      </c>
      <c r="F47" t="s">
        <v>16</v>
      </c>
      <c r="G47" t="s">
        <v>17</v>
      </c>
      <c r="H47">
        <v>5</v>
      </c>
      <c r="I47">
        <v>0</v>
      </c>
      <c r="J47">
        <v>0.11</v>
      </c>
      <c r="K47">
        <v>2.01</v>
      </c>
      <c r="L47" t="s">
        <v>18</v>
      </c>
      <c r="M47">
        <f>H47+I47</f>
        <v>0</v>
      </c>
      <c r="N47">
        <f>IF(M47&gt;0,H47/M47,"")</f>
        <v>0</v>
      </c>
      <c r="O47">
        <f>VALUE(TRIM(MID(L47,FIND(":",L47)+1,FIND(",",L47)-FIND(":",L47)-1)))+VALUE(TRIM(MID(L47,FIND("conditionals:",L47)+13,LEN(L47))))</f>
        <v>0</v>
      </c>
    </row>
    <row r="48" spans="1:15">
      <c r="A48">
        <v>2</v>
      </c>
      <c r="B48" t="s">
        <v>15</v>
      </c>
      <c r="C48">
        <v>2</v>
      </c>
      <c r="D48">
        <v>0.1</v>
      </c>
      <c r="E48">
        <v>10</v>
      </c>
      <c r="F48" t="s">
        <v>19</v>
      </c>
      <c r="G48" t="s">
        <v>20</v>
      </c>
      <c r="H48">
        <v>8</v>
      </c>
      <c r="I48">
        <v>0</v>
      </c>
      <c r="J48">
        <v>0.12</v>
      </c>
      <c r="K48">
        <v>2.01</v>
      </c>
      <c r="L48" t="s">
        <v>21</v>
      </c>
      <c r="M48">
        <f>H48+I48</f>
        <v>0</v>
      </c>
      <c r="N48">
        <f>IF(M48&gt;0,H48/M48,"")</f>
        <v>0</v>
      </c>
      <c r="O48">
        <f>VALUE(TRIM(MID(L48,FIND(":",L48)+1,FIND(",",L48)-FIND(":",L48)-1)))+VALUE(TRIM(MID(L48,FIND("conditionals:",L48)+13,LEN(L48))))</f>
        <v>0</v>
      </c>
    </row>
    <row r="49" spans="1:15">
      <c r="A49">
        <v>3</v>
      </c>
      <c r="B49" t="s">
        <v>15</v>
      </c>
      <c r="C49">
        <v>2</v>
      </c>
      <c r="D49">
        <v>0.1</v>
      </c>
      <c r="E49">
        <v>10</v>
      </c>
      <c r="F49" t="s">
        <v>22</v>
      </c>
      <c r="G49" t="s">
        <v>23</v>
      </c>
      <c r="H49">
        <v>8</v>
      </c>
      <c r="I49">
        <v>1</v>
      </c>
      <c r="J49">
        <v>0.11</v>
      </c>
      <c r="K49">
        <v>2.01</v>
      </c>
      <c r="L49" t="s">
        <v>24</v>
      </c>
      <c r="M49">
        <f>H49+I49</f>
        <v>0</v>
      </c>
      <c r="N49">
        <f>IF(M49&gt;0,H49/M49,"")</f>
        <v>0</v>
      </c>
      <c r="O49">
        <f>VALUE(TRIM(MID(L49,FIND(":",L49)+1,FIND(",",L49)-FIND(":",L49)-1)))+VALUE(TRIM(MID(L49,FIND("conditionals:",L49)+13,LEN(L49))))</f>
        <v>0</v>
      </c>
    </row>
    <row r="50" spans="1:15">
      <c r="A50">
        <v>4</v>
      </c>
      <c r="B50" t="s">
        <v>15</v>
      </c>
      <c r="C50">
        <v>2</v>
      </c>
      <c r="D50">
        <v>0.1</v>
      </c>
      <c r="E50">
        <v>10</v>
      </c>
      <c r="F50" t="s">
        <v>25</v>
      </c>
      <c r="G50" t="s">
        <v>26</v>
      </c>
      <c r="H50">
        <v>14</v>
      </c>
      <c r="I50">
        <v>0</v>
      </c>
      <c r="J50">
        <v>0.11</v>
      </c>
      <c r="K50">
        <v>2.06</v>
      </c>
      <c r="L50" t="s">
        <v>27</v>
      </c>
      <c r="M50">
        <f>H50+I50</f>
        <v>0</v>
      </c>
      <c r="N50">
        <f>IF(M50&gt;0,H50/M50,"")</f>
        <v>0</v>
      </c>
      <c r="O50">
        <f>VALUE(TRIM(MID(L50,FIND(":",L50)+1,FIND(",",L50)-FIND(":",L50)-1)))+VALUE(TRIM(MID(L50,FIND("conditionals:",L50)+13,LEN(L50))))</f>
        <v>0</v>
      </c>
    </row>
    <row r="51" spans="1:15">
      <c r="A51">
        <v>5</v>
      </c>
      <c r="B51" t="s">
        <v>15</v>
      </c>
      <c r="C51">
        <v>2</v>
      </c>
      <c r="D51">
        <v>0.1</v>
      </c>
      <c r="E51">
        <v>10</v>
      </c>
      <c r="F51" t="s">
        <v>87</v>
      </c>
      <c r="G51" t="s">
        <v>29</v>
      </c>
      <c r="H51">
        <v>6</v>
      </c>
      <c r="I51">
        <v>0</v>
      </c>
      <c r="J51">
        <v>0.11</v>
      </c>
      <c r="K51">
        <v>2.02</v>
      </c>
      <c r="L51" t="s">
        <v>39</v>
      </c>
      <c r="M51">
        <f>H51+I51</f>
        <v>0</v>
      </c>
      <c r="N51">
        <f>IF(M51&gt;0,H51/M51,"")</f>
        <v>0</v>
      </c>
      <c r="O51">
        <f>VALUE(TRIM(MID(L51,FIND(":",L51)+1,FIND(",",L51)-FIND(":",L51)-1)))+VALUE(TRIM(MID(L51,FIND("conditionals:",L51)+13,LEN(L51))))</f>
        <v>0</v>
      </c>
    </row>
    <row r="52" spans="1:15">
      <c r="A52">
        <v>1</v>
      </c>
      <c r="B52" t="s">
        <v>15</v>
      </c>
      <c r="C52">
        <v>2</v>
      </c>
      <c r="D52">
        <v>0.5</v>
      </c>
      <c r="E52">
        <v>30</v>
      </c>
      <c r="F52" t="s">
        <v>40</v>
      </c>
      <c r="G52" t="s">
        <v>41</v>
      </c>
      <c r="H52">
        <v>4</v>
      </c>
      <c r="I52">
        <v>0</v>
      </c>
      <c r="J52">
        <v>0.11</v>
      </c>
      <c r="K52">
        <v>2.01</v>
      </c>
      <c r="L52" t="s">
        <v>42</v>
      </c>
      <c r="M52">
        <f>H52+I52</f>
        <v>0</v>
      </c>
      <c r="N52">
        <f>IF(M52&gt;0,H52/M52,"")</f>
        <v>0</v>
      </c>
      <c r="O52">
        <f>VALUE(TRIM(MID(L52,FIND(":",L52)+1,FIND(",",L52)-FIND(":",L52)-1)))+VALUE(TRIM(MID(L52,FIND("conditionals:",L52)+13,LEN(L52))))</f>
        <v>0</v>
      </c>
    </row>
    <row r="53" spans="1:15">
      <c r="A53">
        <v>2</v>
      </c>
      <c r="B53" t="s">
        <v>15</v>
      </c>
      <c r="C53">
        <v>2</v>
      </c>
      <c r="D53">
        <v>0.5</v>
      </c>
      <c r="E53">
        <v>30</v>
      </c>
      <c r="F53" t="s">
        <v>88</v>
      </c>
      <c r="G53" t="s">
        <v>89</v>
      </c>
      <c r="H53">
        <v>7</v>
      </c>
      <c r="I53">
        <v>1</v>
      </c>
      <c r="J53">
        <v>0.11</v>
      </c>
      <c r="K53">
        <v>2.04</v>
      </c>
      <c r="L53" t="s">
        <v>45</v>
      </c>
      <c r="M53">
        <f>H53+I53</f>
        <v>0</v>
      </c>
      <c r="N53">
        <f>IF(M53&gt;0,H53/M53,"")</f>
        <v>0</v>
      </c>
      <c r="O53">
        <f>VALUE(TRIM(MID(L53,FIND(":",L53)+1,FIND(",",L53)-FIND(":",L53)-1)))+VALUE(TRIM(MID(L53,FIND("conditionals:",L53)+13,LEN(L53))))</f>
        <v>0</v>
      </c>
    </row>
    <row r="54" spans="1:15">
      <c r="A54">
        <v>3</v>
      </c>
      <c r="B54" t="s">
        <v>15</v>
      </c>
      <c r="C54">
        <v>2</v>
      </c>
      <c r="D54">
        <v>0.5</v>
      </c>
      <c r="E54">
        <v>30</v>
      </c>
      <c r="F54" t="s">
        <v>90</v>
      </c>
      <c r="G54" t="s">
        <v>91</v>
      </c>
      <c r="H54">
        <v>10</v>
      </c>
      <c r="I54">
        <v>0</v>
      </c>
      <c r="J54">
        <v>0.11</v>
      </c>
      <c r="K54">
        <v>2.04</v>
      </c>
      <c r="L54" t="s">
        <v>48</v>
      </c>
      <c r="M54">
        <f>H54+I54</f>
        <v>0</v>
      </c>
      <c r="N54">
        <f>IF(M54&gt;0,H54/M54,"")</f>
        <v>0</v>
      </c>
      <c r="O54">
        <f>VALUE(TRIM(MID(L54,FIND(":",L54)+1,FIND(",",L54)-FIND(":",L54)-1)))+VALUE(TRIM(MID(L54,FIND("conditionals:",L54)+13,LEN(L54))))</f>
        <v>0</v>
      </c>
    </row>
    <row r="55" spans="1:15">
      <c r="A55">
        <v>4</v>
      </c>
      <c r="B55" t="s">
        <v>15</v>
      </c>
      <c r="C55">
        <v>2</v>
      </c>
      <c r="D55">
        <v>0.5</v>
      </c>
      <c r="E55">
        <v>30</v>
      </c>
      <c r="F55" t="s">
        <v>92</v>
      </c>
      <c r="G55" t="s">
        <v>93</v>
      </c>
      <c r="H55">
        <v>15</v>
      </c>
      <c r="I55">
        <v>0</v>
      </c>
      <c r="J55">
        <v>0.11</v>
      </c>
      <c r="K55">
        <v>2.02</v>
      </c>
      <c r="L55" t="s">
        <v>94</v>
      </c>
      <c r="M55">
        <f>H55+I55</f>
        <v>0</v>
      </c>
      <c r="N55">
        <f>IF(M55&gt;0,H55/M55,"")</f>
        <v>0</v>
      </c>
      <c r="O55">
        <f>VALUE(TRIM(MID(L55,FIND(":",L55)+1,FIND(",",L55)-FIND(":",L55)-1)))+VALUE(TRIM(MID(L55,FIND("conditionals:",L55)+13,LEN(L55))))</f>
        <v>0</v>
      </c>
    </row>
    <row r="56" spans="1:15">
      <c r="A56">
        <v>5</v>
      </c>
      <c r="B56" t="s">
        <v>15</v>
      </c>
      <c r="C56">
        <v>2</v>
      </c>
      <c r="D56">
        <v>0.5</v>
      </c>
      <c r="E56">
        <v>30</v>
      </c>
      <c r="F56" t="s">
        <v>95</v>
      </c>
      <c r="G56" t="s">
        <v>62</v>
      </c>
      <c r="H56">
        <v>7</v>
      </c>
      <c r="I56">
        <v>0</v>
      </c>
      <c r="J56">
        <v>0.11</v>
      </c>
      <c r="K56">
        <v>2.01</v>
      </c>
      <c r="L56" t="s">
        <v>96</v>
      </c>
      <c r="M56">
        <f>H56+I56</f>
        <v>0</v>
      </c>
      <c r="N56">
        <f>IF(M56&gt;0,H56/M56,"")</f>
        <v>0</v>
      </c>
      <c r="O56">
        <f>VALUE(TRIM(MID(L56,FIND(":",L56)+1,FIND(",",L56)-FIND(":",L56)-1)))+VALUE(TRIM(MID(L56,FIND("conditionals:",L56)+13,LEN(L56))))</f>
        <v>0</v>
      </c>
    </row>
    <row r="57" spans="1:15">
      <c r="A57">
        <v>1</v>
      </c>
      <c r="B57" t="s">
        <v>15</v>
      </c>
      <c r="C57">
        <v>2</v>
      </c>
      <c r="D57">
        <v>0.95</v>
      </c>
      <c r="E57">
        <v>100</v>
      </c>
      <c r="F57" t="s">
        <v>97</v>
      </c>
      <c r="G57" t="s">
        <v>98</v>
      </c>
      <c r="H57">
        <v>4</v>
      </c>
      <c r="I57">
        <v>0</v>
      </c>
      <c r="J57">
        <v>0.11</v>
      </c>
      <c r="K57">
        <v>2.04</v>
      </c>
      <c r="L57" t="s">
        <v>60</v>
      </c>
      <c r="M57">
        <f>H57+I57</f>
        <v>0</v>
      </c>
      <c r="N57">
        <f>IF(M57&gt;0,H57/M57,"")</f>
        <v>0</v>
      </c>
      <c r="O57">
        <f>VALUE(TRIM(MID(L57,FIND(":",L57)+1,FIND(",",L57)-FIND(":",L57)-1)))+VALUE(TRIM(MID(L57,FIND("conditionals:",L57)+13,LEN(L57))))</f>
        <v>0</v>
      </c>
    </row>
    <row r="58" spans="1:15">
      <c r="A58">
        <v>2</v>
      </c>
      <c r="B58" t="s">
        <v>15</v>
      </c>
      <c r="C58">
        <v>2</v>
      </c>
      <c r="D58">
        <v>0.95</v>
      </c>
      <c r="E58">
        <v>100</v>
      </c>
      <c r="F58" t="s">
        <v>99</v>
      </c>
      <c r="G58" t="s">
        <v>20</v>
      </c>
      <c r="H58">
        <v>8</v>
      </c>
      <c r="I58">
        <v>0</v>
      </c>
      <c r="J58">
        <v>0.11</v>
      </c>
      <c r="K58">
        <v>2.02</v>
      </c>
      <c r="L58" t="s">
        <v>45</v>
      </c>
      <c r="M58">
        <f>H58+I58</f>
        <v>0</v>
      </c>
      <c r="N58">
        <f>IF(M58&gt;0,H58/M58,"")</f>
        <v>0</v>
      </c>
      <c r="O58">
        <f>VALUE(TRIM(MID(L58,FIND(":",L58)+1,FIND(",",L58)-FIND(":",L58)-1)))+VALUE(TRIM(MID(L58,FIND("conditionals:",L58)+13,LEN(L58))))</f>
        <v>0</v>
      </c>
    </row>
    <row r="59" spans="1:15">
      <c r="A59">
        <v>3</v>
      </c>
      <c r="B59" t="s">
        <v>15</v>
      </c>
      <c r="C59">
        <v>2</v>
      </c>
      <c r="D59">
        <v>0.95</v>
      </c>
      <c r="E59">
        <v>100</v>
      </c>
      <c r="F59" t="s">
        <v>100</v>
      </c>
      <c r="G59" t="s">
        <v>29</v>
      </c>
      <c r="H59">
        <v>6</v>
      </c>
      <c r="I59">
        <v>0</v>
      </c>
      <c r="J59">
        <v>0.11</v>
      </c>
      <c r="K59">
        <v>2.03</v>
      </c>
      <c r="L59" t="s">
        <v>101</v>
      </c>
      <c r="M59">
        <f>H59+I59</f>
        <v>0</v>
      </c>
      <c r="N59">
        <f>IF(M59&gt;0,H59/M59,"")</f>
        <v>0</v>
      </c>
      <c r="O59">
        <f>VALUE(TRIM(MID(L59,FIND(":",L59)+1,FIND(",",L59)-FIND(":",L59)-1)))+VALUE(TRIM(MID(L59,FIND("conditionals:",L59)+13,LEN(L59))))</f>
        <v>0</v>
      </c>
    </row>
    <row r="60" spans="1:15">
      <c r="A60">
        <v>4</v>
      </c>
      <c r="B60" t="s">
        <v>15</v>
      </c>
      <c r="C60">
        <v>2</v>
      </c>
      <c r="D60">
        <v>0.95</v>
      </c>
      <c r="E60">
        <v>100</v>
      </c>
      <c r="F60" t="s">
        <v>102</v>
      </c>
      <c r="G60" t="s">
        <v>103</v>
      </c>
      <c r="H60">
        <v>16</v>
      </c>
      <c r="I60">
        <v>2</v>
      </c>
      <c r="J60">
        <v>0.11</v>
      </c>
      <c r="K60">
        <v>2.05</v>
      </c>
      <c r="L60" t="s">
        <v>60</v>
      </c>
      <c r="M60">
        <f>H60+I60</f>
        <v>0</v>
      </c>
      <c r="N60">
        <f>IF(M60&gt;0,H60/M60,"")</f>
        <v>0</v>
      </c>
      <c r="O60">
        <f>VALUE(TRIM(MID(L60,FIND(":",L60)+1,FIND(",",L60)-FIND(":",L60)-1)))+VALUE(TRIM(MID(L60,FIND("conditionals:",L60)+13,LEN(L60))))</f>
        <v>0</v>
      </c>
    </row>
    <row r="61" spans="1:15">
      <c r="A61">
        <v>5</v>
      </c>
      <c r="B61" t="s">
        <v>15</v>
      </c>
      <c r="C61">
        <v>2</v>
      </c>
      <c r="D61">
        <v>0.95</v>
      </c>
      <c r="E61">
        <v>100</v>
      </c>
      <c r="F61" t="s">
        <v>104</v>
      </c>
      <c r="G61" t="s">
        <v>105</v>
      </c>
      <c r="H61">
        <v>7</v>
      </c>
      <c r="I61">
        <v>0</v>
      </c>
      <c r="J61">
        <v>0.11</v>
      </c>
      <c r="K61">
        <v>2.03</v>
      </c>
      <c r="L61" t="s">
        <v>39</v>
      </c>
      <c r="M61">
        <f>H61+I61</f>
        <v>0</v>
      </c>
      <c r="N61">
        <f>IF(M61&gt;0,H61/M61,"")</f>
        <v>0</v>
      </c>
      <c r="O61">
        <f>VALUE(TRIM(MID(L61,FIND(":",L61)+1,FIND(",",L61)-FIND(":",L61)-1)))+VALUE(TRIM(MID(L61,FIND("conditionals:",L61)+13,LEN(L61))))</f>
        <v>0</v>
      </c>
    </row>
    <row r="62" spans="1:15">
      <c r="A62">
        <v>1</v>
      </c>
      <c r="B62" t="s">
        <v>106</v>
      </c>
      <c r="C62">
        <v>0</v>
      </c>
      <c r="D62">
        <v>0.1</v>
      </c>
      <c r="E62">
        <v>10</v>
      </c>
      <c r="F62" t="s">
        <v>107</v>
      </c>
      <c r="G62" t="s">
        <v>17</v>
      </c>
      <c r="H62">
        <v>5</v>
      </c>
      <c r="I62">
        <v>0</v>
      </c>
      <c r="J62">
        <v>0.11</v>
      </c>
      <c r="K62">
        <v>2.01</v>
      </c>
      <c r="L62" t="s">
        <v>18</v>
      </c>
      <c r="M62">
        <f>H62+I62</f>
        <v>0</v>
      </c>
      <c r="N62">
        <f>IF(M62&gt;0,H62/M62,"")</f>
        <v>0</v>
      </c>
      <c r="O62">
        <f>VALUE(TRIM(MID(L62,FIND(":",L62)+1,FIND(",",L62)-FIND(":",L62)-1)))+VALUE(TRIM(MID(L62,FIND("conditionals:",L62)+13,LEN(L62))))</f>
        <v>0</v>
      </c>
    </row>
    <row r="63" spans="1:15">
      <c r="A63">
        <v>2</v>
      </c>
      <c r="B63" t="s">
        <v>106</v>
      </c>
      <c r="C63">
        <v>0</v>
      </c>
      <c r="D63">
        <v>0.1</v>
      </c>
      <c r="E63">
        <v>10</v>
      </c>
      <c r="F63" t="s">
        <v>108</v>
      </c>
      <c r="G63" t="s">
        <v>105</v>
      </c>
      <c r="H63">
        <v>7</v>
      </c>
      <c r="I63">
        <v>0</v>
      </c>
      <c r="J63">
        <v>0.11</v>
      </c>
      <c r="K63">
        <v>2.01</v>
      </c>
      <c r="L63" t="s">
        <v>45</v>
      </c>
      <c r="M63">
        <f>H63+I63</f>
        <v>0</v>
      </c>
      <c r="N63">
        <f>IF(M63&gt;0,H63/M63,"")</f>
        <v>0</v>
      </c>
      <c r="O63">
        <f>VALUE(TRIM(MID(L63,FIND(":",L63)+1,FIND(",",L63)-FIND(":",L63)-1)))+VALUE(TRIM(MID(L63,FIND("conditionals:",L63)+13,LEN(L63))))</f>
        <v>0</v>
      </c>
    </row>
    <row r="64" spans="1:15">
      <c r="A64">
        <v>3</v>
      </c>
      <c r="B64" t="s">
        <v>106</v>
      </c>
      <c r="C64">
        <v>0</v>
      </c>
      <c r="D64">
        <v>0.1</v>
      </c>
      <c r="E64">
        <v>10</v>
      </c>
      <c r="F64" t="s">
        <v>109</v>
      </c>
      <c r="G64" t="s">
        <v>105</v>
      </c>
      <c r="H64">
        <v>7</v>
      </c>
      <c r="I64">
        <v>0</v>
      </c>
      <c r="J64">
        <v>0.11</v>
      </c>
      <c r="K64">
        <v>2.02</v>
      </c>
      <c r="L64" t="s">
        <v>48</v>
      </c>
      <c r="M64">
        <f>H64+I64</f>
        <v>0</v>
      </c>
      <c r="N64">
        <f>IF(M64&gt;0,H64/M64,"")</f>
        <v>0</v>
      </c>
      <c r="O64">
        <f>VALUE(TRIM(MID(L64,FIND(":",L64)+1,FIND(",",L64)-FIND(":",L64)-1)))+VALUE(TRIM(MID(L64,FIND("conditionals:",L64)+13,LEN(L64))))</f>
        <v>0</v>
      </c>
    </row>
    <row r="65" spans="1:15">
      <c r="A65">
        <v>4</v>
      </c>
      <c r="B65" t="s">
        <v>106</v>
      </c>
      <c r="C65">
        <v>0</v>
      </c>
      <c r="D65">
        <v>0.1</v>
      </c>
      <c r="E65">
        <v>10</v>
      </c>
      <c r="F65" t="s">
        <v>110</v>
      </c>
      <c r="G65" t="s">
        <v>111</v>
      </c>
      <c r="H65">
        <v>8</v>
      </c>
      <c r="I65">
        <v>1</v>
      </c>
      <c r="J65">
        <v>0.11</v>
      </c>
      <c r="K65">
        <v>2.04</v>
      </c>
      <c r="L65" t="s">
        <v>27</v>
      </c>
      <c r="M65">
        <f>H65+I65</f>
        <v>0</v>
      </c>
      <c r="N65">
        <f>IF(M65&gt;0,H65/M65,"")</f>
        <v>0</v>
      </c>
      <c r="O65">
        <f>VALUE(TRIM(MID(L65,FIND(":",L65)+1,FIND(",",L65)-FIND(":",L65)-1)))+VALUE(TRIM(MID(L65,FIND("conditionals:",L65)+13,LEN(L65))))</f>
        <v>0</v>
      </c>
    </row>
    <row r="66" spans="1:15">
      <c r="A66">
        <v>5</v>
      </c>
      <c r="B66" t="s">
        <v>106</v>
      </c>
      <c r="C66">
        <v>0</v>
      </c>
      <c r="D66">
        <v>0.1</v>
      </c>
      <c r="E66">
        <v>10</v>
      </c>
      <c r="F66" t="s">
        <v>112</v>
      </c>
      <c r="G66" t="s">
        <v>17</v>
      </c>
      <c r="H66">
        <v>5</v>
      </c>
      <c r="I66">
        <v>0</v>
      </c>
      <c r="J66">
        <v>0.11</v>
      </c>
      <c r="K66">
        <v>2.01</v>
      </c>
      <c r="L66" t="s">
        <v>39</v>
      </c>
      <c r="M66">
        <f>H66+I66</f>
        <v>0</v>
      </c>
      <c r="N66">
        <f>IF(M66&gt;0,H66/M66,"")</f>
        <v>0</v>
      </c>
      <c r="O66">
        <f>VALUE(TRIM(MID(L66,FIND(":",L66)+1,FIND(",",L66)-FIND(":",L66)-1)))+VALUE(TRIM(MID(L66,FIND("conditionals:",L66)+13,LEN(L66))))</f>
        <v>0</v>
      </c>
    </row>
    <row r="67" spans="1:15">
      <c r="A67">
        <v>1</v>
      </c>
      <c r="B67" t="s">
        <v>106</v>
      </c>
      <c r="C67">
        <v>0</v>
      </c>
      <c r="D67">
        <v>0.5</v>
      </c>
      <c r="E67">
        <v>30</v>
      </c>
      <c r="F67" t="s">
        <v>113</v>
      </c>
      <c r="G67" t="s">
        <v>17</v>
      </c>
      <c r="H67">
        <v>5</v>
      </c>
      <c r="I67">
        <v>0</v>
      </c>
      <c r="J67">
        <v>0.11</v>
      </c>
      <c r="K67">
        <v>2.03</v>
      </c>
      <c r="L67" t="s">
        <v>18</v>
      </c>
      <c r="M67">
        <f>H67+I67</f>
        <v>0</v>
      </c>
      <c r="N67">
        <f>IF(M67&gt;0,H67/M67,"")</f>
        <v>0</v>
      </c>
      <c r="O67">
        <f>VALUE(TRIM(MID(L67,FIND(":",L67)+1,FIND(",",L67)-FIND(":",L67)-1)))+VALUE(TRIM(MID(L67,FIND("conditionals:",L67)+13,LEN(L67))))</f>
        <v>0</v>
      </c>
    </row>
    <row r="68" spans="1:15">
      <c r="A68">
        <v>2</v>
      </c>
      <c r="B68" t="s">
        <v>106</v>
      </c>
      <c r="C68">
        <v>0</v>
      </c>
      <c r="D68">
        <v>0.5</v>
      </c>
      <c r="E68">
        <v>30</v>
      </c>
      <c r="F68" t="s">
        <v>108</v>
      </c>
      <c r="G68" t="s">
        <v>105</v>
      </c>
      <c r="H68">
        <v>7</v>
      </c>
      <c r="I68">
        <v>0</v>
      </c>
      <c r="J68">
        <v>0.11</v>
      </c>
      <c r="K68">
        <v>2.02</v>
      </c>
      <c r="L68" t="s">
        <v>45</v>
      </c>
      <c r="M68">
        <f>H68+I68</f>
        <v>0</v>
      </c>
      <c r="N68">
        <f>IF(M68&gt;0,H68/M68,"")</f>
        <v>0</v>
      </c>
      <c r="O68">
        <f>VALUE(TRIM(MID(L68,FIND(":",L68)+1,FIND(",",L68)-FIND(":",L68)-1)))+VALUE(TRIM(MID(L68,FIND("conditionals:",L68)+13,LEN(L68))))</f>
        <v>0</v>
      </c>
    </row>
    <row r="69" spans="1:15">
      <c r="A69">
        <v>3</v>
      </c>
      <c r="B69" t="s">
        <v>106</v>
      </c>
      <c r="C69">
        <v>0</v>
      </c>
      <c r="D69">
        <v>0.5</v>
      </c>
      <c r="E69">
        <v>30</v>
      </c>
      <c r="F69" t="s">
        <v>114</v>
      </c>
      <c r="G69" t="s">
        <v>105</v>
      </c>
      <c r="H69">
        <v>7</v>
      </c>
      <c r="I69">
        <v>0</v>
      </c>
      <c r="J69">
        <v>0.11</v>
      </c>
      <c r="K69">
        <v>2.01</v>
      </c>
      <c r="L69" t="s">
        <v>48</v>
      </c>
      <c r="M69">
        <f>H69+I69</f>
        <v>0</v>
      </c>
      <c r="N69">
        <f>IF(M69&gt;0,H69/M69,"")</f>
        <v>0</v>
      </c>
      <c r="O69">
        <f>VALUE(TRIM(MID(L69,FIND(":",L69)+1,FIND(",",L69)-FIND(":",L69)-1)))+VALUE(TRIM(MID(L69,FIND("conditionals:",L69)+13,LEN(L69))))</f>
        <v>0</v>
      </c>
    </row>
    <row r="70" spans="1:15">
      <c r="A70">
        <v>4</v>
      </c>
      <c r="B70" t="s">
        <v>106</v>
      </c>
      <c r="C70">
        <v>0</v>
      </c>
      <c r="D70">
        <v>0.5</v>
      </c>
      <c r="E70">
        <v>30</v>
      </c>
      <c r="F70" t="s">
        <v>115</v>
      </c>
      <c r="G70" t="s">
        <v>116</v>
      </c>
      <c r="H70">
        <v>10</v>
      </c>
      <c r="I70">
        <v>0</v>
      </c>
      <c r="J70">
        <v>0.11</v>
      </c>
      <c r="K70">
        <v>2.03</v>
      </c>
      <c r="L70" t="s">
        <v>27</v>
      </c>
      <c r="M70">
        <f>H70+I70</f>
        <v>0</v>
      </c>
      <c r="N70">
        <f>IF(M70&gt;0,H70/M70,"")</f>
        <v>0</v>
      </c>
      <c r="O70">
        <f>VALUE(TRIM(MID(L70,FIND(":",L70)+1,FIND(",",L70)-FIND(":",L70)-1)))+VALUE(TRIM(MID(L70,FIND("conditionals:",L70)+13,LEN(L70))))</f>
        <v>0</v>
      </c>
    </row>
    <row r="71" spans="1:15">
      <c r="A71">
        <v>5</v>
      </c>
      <c r="B71" t="s">
        <v>106</v>
      </c>
      <c r="C71">
        <v>0</v>
      </c>
      <c r="D71">
        <v>0.5</v>
      </c>
      <c r="E71">
        <v>30</v>
      </c>
      <c r="F71" t="s">
        <v>117</v>
      </c>
      <c r="G71" t="s">
        <v>29</v>
      </c>
      <c r="H71">
        <v>6</v>
      </c>
      <c r="I71">
        <v>0</v>
      </c>
      <c r="J71">
        <v>0.11</v>
      </c>
      <c r="K71">
        <v>2.05</v>
      </c>
      <c r="L71" t="s">
        <v>39</v>
      </c>
      <c r="M71">
        <f>H71+I71</f>
        <v>0</v>
      </c>
      <c r="N71">
        <f>IF(M71&gt;0,H71/M71,"")</f>
        <v>0</v>
      </c>
      <c r="O71">
        <f>VALUE(TRIM(MID(L71,FIND(":",L71)+1,FIND(",",L71)-FIND(":",L71)-1)))+VALUE(TRIM(MID(L71,FIND("conditionals:",L71)+13,LEN(L71))))</f>
        <v>0</v>
      </c>
    </row>
    <row r="72" spans="1:15">
      <c r="A72">
        <v>1</v>
      </c>
      <c r="B72" t="s">
        <v>106</v>
      </c>
      <c r="C72">
        <v>0</v>
      </c>
      <c r="D72">
        <v>0.95</v>
      </c>
      <c r="E72">
        <v>100</v>
      </c>
      <c r="F72" t="s">
        <v>113</v>
      </c>
      <c r="G72" t="s">
        <v>17</v>
      </c>
      <c r="H72">
        <v>5</v>
      </c>
      <c r="I72">
        <v>0</v>
      </c>
      <c r="J72">
        <v>0.11</v>
      </c>
      <c r="K72">
        <v>2.01</v>
      </c>
      <c r="L72" t="s">
        <v>18</v>
      </c>
      <c r="M72">
        <f>H72+I72</f>
        <v>0</v>
      </c>
      <c r="N72">
        <f>IF(M72&gt;0,H72/M72,"")</f>
        <v>0</v>
      </c>
      <c r="O72">
        <f>VALUE(TRIM(MID(L72,FIND(":",L72)+1,FIND(",",L72)-FIND(":",L72)-1)))+VALUE(TRIM(MID(L72,FIND("conditionals:",L72)+13,LEN(L72))))</f>
        <v>0</v>
      </c>
    </row>
    <row r="73" spans="1:15">
      <c r="A73">
        <v>2</v>
      </c>
      <c r="B73" t="s">
        <v>106</v>
      </c>
      <c r="C73">
        <v>0</v>
      </c>
      <c r="D73">
        <v>0.95</v>
      </c>
      <c r="E73">
        <v>100</v>
      </c>
      <c r="F73" t="s">
        <v>108</v>
      </c>
      <c r="G73" t="s">
        <v>105</v>
      </c>
      <c r="H73">
        <v>7</v>
      </c>
      <c r="I73">
        <v>0</v>
      </c>
      <c r="J73">
        <v>0.11</v>
      </c>
      <c r="K73">
        <v>2.02</v>
      </c>
      <c r="L73" t="s">
        <v>45</v>
      </c>
      <c r="M73">
        <f>H73+I73</f>
        <v>0</v>
      </c>
      <c r="N73">
        <f>IF(M73&gt;0,H73/M73,"")</f>
        <v>0</v>
      </c>
      <c r="O73">
        <f>VALUE(TRIM(MID(L73,FIND(":",L73)+1,FIND(",",L73)-FIND(":",L73)-1)))+VALUE(TRIM(MID(L73,FIND("conditionals:",L73)+13,LEN(L73))))</f>
        <v>0</v>
      </c>
    </row>
    <row r="74" spans="1:15">
      <c r="A74">
        <v>3</v>
      </c>
      <c r="B74" t="s">
        <v>106</v>
      </c>
      <c r="C74">
        <v>0</v>
      </c>
      <c r="D74">
        <v>0.95</v>
      </c>
      <c r="E74">
        <v>100</v>
      </c>
      <c r="F74" t="s">
        <v>114</v>
      </c>
      <c r="G74" t="s">
        <v>105</v>
      </c>
      <c r="H74">
        <v>7</v>
      </c>
      <c r="I74">
        <v>0</v>
      </c>
      <c r="J74">
        <v>0.11</v>
      </c>
      <c r="K74">
        <v>2.01</v>
      </c>
      <c r="L74" t="s">
        <v>48</v>
      </c>
      <c r="M74">
        <f>H74+I74</f>
        <v>0</v>
      </c>
      <c r="N74">
        <f>IF(M74&gt;0,H74/M74,"")</f>
        <v>0</v>
      </c>
      <c r="O74">
        <f>VALUE(TRIM(MID(L74,FIND(":",L74)+1,FIND(",",L74)-FIND(":",L74)-1)))+VALUE(TRIM(MID(L74,FIND("conditionals:",L74)+13,LEN(L74))))</f>
        <v>0</v>
      </c>
    </row>
    <row r="75" spans="1:15">
      <c r="A75">
        <v>4</v>
      </c>
      <c r="B75" t="s">
        <v>106</v>
      </c>
      <c r="C75">
        <v>0</v>
      </c>
      <c r="D75">
        <v>0.95</v>
      </c>
      <c r="E75">
        <v>100</v>
      </c>
      <c r="F75" t="s">
        <v>118</v>
      </c>
      <c r="G75" t="s">
        <v>119</v>
      </c>
      <c r="H75">
        <v>9</v>
      </c>
      <c r="I75">
        <v>1</v>
      </c>
      <c r="J75">
        <v>0.11</v>
      </c>
      <c r="K75">
        <v>2.01</v>
      </c>
      <c r="L75" t="s">
        <v>27</v>
      </c>
      <c r="M75">
        <f>H75+I75</f>
        <v>0</v>
      </c>
      <c r="N75">
        <f>IF(M75&gt;0,H75/M75,"")</f>
        <v>0</v>
      </c>
      <c r="O75">
        <f>VALUE(TRIM(MID(L75,FIND(":",L75)+1,FIND(",",L75)-FIND(":",L75)-1)))+VALUE(TRIM(MID(L75,FIND("conditionals:",L75)+13,LEN(L75))))</f>
        <v>0</v>
      </c>
    </row>
    <row r="76" spans="1:15">
      <c r="A76">
        <v>5</v>
      </c>
      <c r="B76" t="s">
        <v>106</v>
      </c>
      <c r="C76">
        <v>0</v>
      </c>
      <c r="D76">
        <v>0.95</v>
      </c>
      <c r="E76">
        <v>100</v>
      </c>
      <c r="F76" t="s">
        <v>120</v>
      </c>
      <c r="G76" t="s">
        <v>17</v>
      </c>
      <c r="H76">
        <v>5</v>
      </c>
      <c r="I76">
        <v>0</v>
      </c>
      <c r="J76">
        <v>0.11</v>
      </c>
      <c r="K76">
        <v>2.01</v>
      </c>
      <c r="L76" t="s">
        <v>39</v>
      </c>
      <c r="M76">
        <f>H76+I76</f>
        <v>0</v>
      </c>
      <c r="N76">
        <f>IF(M76&gt;0,H76/M76,"")</f>
        <v>0</v>
      </c>
      <c r="O76">
        <f>VALUE(TRIM(MID(L76,FIND(":",L76)+1,FIND(",",L76)-FIND(":",L76)-1)))+VALUE(TRIM(MID(L76,FIND("conditionals:",L76)+13,LEN(L76))))</f>
        <v>0</v>
      </c>
    </row>
    <row r="77" spans="1:15">
      <c r="A77">
        <v>1</v>
      </c>
      <c r="B77" t="s">
        <v>106</v>
      </c>
      <c r="C77">
        <v>0.5</v>
      </c>
      <c r="D77">
        <v>0.1</v>
      </c>
      <c r="E77">
        <v>10</v>
      </c>
      <c r="F77" t="s">
        <v>107</v>
      </c>
      <c r="G77" t="s">
        <v>17</v>
      </c>
      <c r="H77">
        <v>5</v>
      </c>
      <c r="I77">
        <v>0</v>
      </c>
      <c r="J77">
        <v>0.11</v>
      </c>
      <c r="K77">
        <v>2.03</v>
      </c>
      <c r="L77" t="s">
        <v>18</v>
      </c>
      <c r="M77">
        <f>H77+I77</f>
        <v>0</v>
      </c>
      <c r="N77">
        <f>IF(M77&gt;0,H77/M77,"")</f>
        <v>0</v>
      </c>
      <c r="O77">
        <f>VALUE(TRIM(MID(L77,FIND(":",L77)+1,FIND(",",L77)-FIND(":",L77)-1)))+VALUE(TRIM(MID(L77,FIND("conditionals:",L77)+13,LEN(L77))))</f>
        <v>0</v>
      </c>
    </row>
    <row r="78" spans="1:15">
      <c r="A78">
        <v>2</v>
      </c>
      <c r="B78" t="s">
        <v>106</v>
      </c>
      <c r="C78">
        <v>0.5</v>
      </c>
      <c r="D78">
        <v>0.1</v>
      </c>
      <c r="E78">
        <v>10</v>
      </c>
      <c r="F78" t="s">
        <v>108</v>
      </c>
      <c r="G78" t="s">
        <v>105</v>
      </c>
      <c r="H78">
        <v>7</v>
      </c>
      <c r="I78">
        <v>0</v>
      </c>
      <c r="J78">
        <v>0.11</v>
      </c>
      <c r="K78">
        <v>2.06</v>
      </c>
      <c r="L78" t="s">
        <v>45</v>
      </c>
      <c r="M78">
        <f>H78+I78</f>
        <v>0</v>
      </c>
      <c r="N78">
        <f>IF(M78&gt;0,H78/M78,"")</f>
        <v>0</v>
      </c>
      <c r="O78">
        <f>VALUE(TRIM(MID(L78,FIND(":",L78)+1,FIND(",",L78)-FIND(":",L78)-1)))+VALUE(TRIM(MID(L78,FIND("conditionals:",L78)+13,LEN(L78))))</f>
        <v>0</v>
      </c>
    </row>
    <row r="79" spans="1:15">
      <c r="A79">
        <v>3</v>
      </c>
      <c r="B79" t="s">
        <v>106</v>
      </c>
      <c r="C79">
        <v>0.5</v>
      </c>
      <c r="D79">
        <v>0.1</v>
      </c>
      <c r="E79">
        <v>10</v>
      </c>
      <c r="F79" t="s">
        <v>109</v>
      </c>
      <c r="G79" t="s">
        <v>105</v>
      </c>
      <c r="H79">
        <v>7</v>
      </c>
      <c r="I79">
        <v>0</v>
      </c>
      <c r="J79">
        <v>0.12</v>
      </c>
      <c r="K79">
        <v>2.02</v>
      </c>
      <c r="L79" t="s">
        <v>48</v>
      </c>
      <c r="M79">
        <f>H79+I79</f>
        <v>0</v>
      </c>
      <c r="N79">
        <f>IF(M79&gt;0,H79/M79,"")</f>
        <v>0</v>
      </c>
      <c r="O79">
        <f>VALUE(TRIM(MID(L79,FIND(":",L79)+1,FIND(",",L79)-FIND(":",L79)-1)))+VALUE(TRIM(MID(L79,FIND("conditionals:",L79)+13,LEN(L79))))</f>
        <v>0</v>
      </c>
    </row>
    <row r="80" spans="1:15">
      <c r="A80">
        <v>4</v>
      </c>
      <c r="B80" t="s">
        <v>106</v>
      </c>
      <c r="C80">
        <v>0.5</v>
      </c>
      <c r="D80">
        <v>0.1</v>
      </c>
      <c r="E80">
        <v>10</v>
      </c>
      <c r="F80" t="s">
        <v>110</v>
      </c>
      <c r="G80" t="s">
        <v>111</v>
      </c>
      <c r="H80">
        <v>8</v>
      </c>
      <c r="I80">
        <v>1</v>
      </c>
      <c r="J80">
        <v>0.15</v>
      </c>
      <c r="K80">
        <v>2.01</v>
      </c>
      <c r="L80" t="s">
        <v>27</v>
      </c>
      <c r="M80">
        <f>H80+I80</f>
        <v>0</v>
      </c>
      <c r="N80">
        <f>IF(M80&gt;0,H80/M80,"")</f>
        <v>0</v>
      </c>
      <c r="O80">
        <f>VALUE(TRIM(MID(L80,FIND(":",L80)+1,FIND(",",L80)-FIND(":",L80)-1)))+VALUE(TRIM(MID(L80,FIND("conditionals:",L80)+13,LEN(L80))))</f>
        <v>0</v>
      </c>
    </row>
    <row r="81" spans="1:15">
      <c r="A81">
        <v>5</v>
      </c>
      <c r="B81" t="s">
        <v>106</v>
      </c>
      <c r="C81">
        <v>0.5</v>
      </c>
      <c r="D81">
        <v>0.1</v>
      </c>
      <c r="E81">
        <v>10</v>
      </c>
      <c r="F81" t="s">
        <v>112</v>
      </c>
      <c r="G81" t="s">
        <v>17</v>
      </c>
      <c r="H81">
        <v>5</v>
      </c>
      <c r="I81">
        <v>0</v>
      </c>
      <c r="J81">
        <v>0.11</v>
      </c>
      <c r="K81">
        <v>2.01</v>
      </c>
      <c r="L81" t="s">
        <v>39</v>
      </c>
      <c r="M81">
        <f>H81+I81</f>
        <v>0</v>
      </c>
      <c r="N81">
        <f>IF(M81&gt;0,H81/M81,"")</f>
        <v>0</v>
      </c>
      <c r="O81">
        <f>VALUE(TRIM(MID(L81,FIND(":",L81)+1,FIND(",",L81)-FIND(":",L81)-1)))+VALUE(TRIM(MID(L81,FIND("conditionals:",L81)+13,LEN(L81))))</f>
        <v>0</v>
      </c>
    </row>
    <row r="82" spans="1:15">
      <c r="A82">
        <v>1</v>
      </c>
      <c r="B82" t="s">
        <v>106</v>
      </c>
      <c r="C82">
        <v>0.5</v>
      </c>
      <c r="D82">
        <v>0.5</v>
      </c>
      <c r="E82">
        <v>30</v>
      </c>
      <c r="F82" t="s">
        <v>107</v>
      </c>
      <c r="G82" t="s">
        <v>17</v>
      </c>
      <c r="H82">
        <v>5</v>
      </c>
      <c r="I82">
        <v>0</v>
      </c>
      <c r="J82">
        <v>0.11</v>
      </c>
      <c r="K82">
        <v>2.01</v>
      </c>
      <c r="L82" t="s">
        <v>18</v>
      </c>
      <c r="M82">
        <f>H82+I82</f>
        <v>0</v>
      </c>
      <c r="N82">
        <f>IF(M82&gt;0,H82/M82,"")</f>
        <v>0</v>
      </c>
      <c r="O82">
        <f>VALUE(TRIM(MID(L82,FIND(":",L82)+1,FIND(",",L82)-FIND(":",L82)-1)))+VALUE(TRIM(MID(L82,FIND("conditionals:",L82)+13,LEN(L82))))</f>
        <v>0</v>
      </c>
    </row>
    <row r="83" spans="1:15">
      <c r="A83">
        <v>2</v>
      </c>
      <c r="B83" t="s">
        <v>106</v>
      </c>
      <c r="C83">
        <v>0.5</v>
      </c>
      <c r="D83">
        <v>0.5</v>
      </c>
      <c r="E83">
        <v>30</v>
      </c>
      <c r="F83" t="s">
        <v>108</v>
      </c>
      <c r="G83" t="s">
        <v>105</v>
      </c>
      <c r="H83">
        <v>7</v>
      </c>
      <c r="I83">
        <v>0</v>
      </c>
      <c r="J83">
        <v>0.11</v>
      </c>
      <c r="K83">
        <v>2.01</v>
      </c>
      <c r="L83" t="s">
        <v>45</v>
      </c>
      <c r="M83">
        <f>H83+I83</f>
        <v>0</v>
      </c>
      <c r="N83">
        <f>IF(M83&gt;0,H83/M83,"")</f>
        <v>0</v>
      </c>
      <c r="O83">
        <f>VALUE(TRIM(MID(L83,FIND(":",L83)+1,FIND(",",L83)-FIND(":",L83)-1)))+VALUE(TRIM(MID(L83,FIND("conditionals:",L83)+13,LEN(L83))))</f>
        <v>0</v>
      </c>
    </row>
    <row r="84" spans="1:15">
      <c r="A84">
        <v>3</v>
      </c>
      <c r="B84" t="s">
        <v>106</v>
      </c>
      <c r="C84">
        <v>0.5</v>
      </c>
      <c r="D84">
        <v>0.5</v>
      </c>
      <c r="E84">
        <v>30</v>
      </c>
      <c r="F84" t="s">
        <v>109</v>
      </c>
      <c r="G84" t="s">
        <v>105</v>
      </c>
      <c r="H84">
        <v>7</v>
      </c>
      <c r="I84">
        <v>0</v>
      </c>
      <c r="J84">
        <v>0.11</v>
      </c>
      <c r="K84">
        <v>2.01</v>
      </c>
      <c r="L84" t="s">
        <v>48</v>
      </c>
      <c r="M84">
        <f>H84+I84</f>
        <v>0</v>
      </c>
      <c r="N84">
        <f>IF(M84&gt;0,H84/M84,"")</f>
        <v>0</v>
      </c>
      <c r="O84">
        <f>VALUE(TRIM(MID(L84,FIND(":",L84)+1,FIND(",",L84)-FIND(":",L84)-1)))+VALUE(TRIM(MID(L84,FIND("conditionals:",L84)+13,LEN(L84))))</f>
        <v>0</v>
      </c>
    </row>
    <row r="85" spans="1:15">
      <c r="A85">
        <v>4</v>
      </c>
      <c r="B85" t="s">
        <v>106</v>
      </c>
      <c r="C85">
        <v>0.5</v>
      </c>
      <c r="D85">
        <v>0.5</v>
      </c>
      <c r="E85">
        <v>30</v>
      </c>
      <c r="F85" t="s">
        <v>110</v>
      </c>
      <c r="G85" t="s">
        <v>111</v>
      </c>
      <c r="H85">
        <v>8</v>
      </c>
      <c r="I85">
        <v>1</v>
      </c>
      <c r="J85">
        <v>0.11</v>
      </c>
      <c r="K85">
        <v>2.04</v>
      </c>
      <c r="L85" t="s">
        <v>27</v>
      </c>
      <c r="M85">
        <f>H85+I85</f>
        <v>0</v>
      </c>
      <c r="N85">
        <f>IF(M85&gt;0,H85/M85,"")</f>
        <v>0</v>
      </c>
      <c r="O85">
        <f>VALUE(TRIM(MID(L85,FIND(":",L85)+1,FIND(",",L85)-FIND(":",L85)-1)))+VALUE(TRIM(MID(L85,FIND("conditionals:",L85)+13,LEN(L85))))</f>
        <v>0</v>
      </c>
    </row>
    <row r="86" spans="1:15">
      <c r="A86">
        <v>5</v>
      </c>
      <c r="B86" t="s">
        <v>106</v>
      </c>
      <c r="C86">
        <v>0.5</v>
      </c>
      <c r="D86">
        <v>0.5</v>
      </c>
      <c r="E86">
        <v>30</v>
      </c>
      <c r="F86" t="s">
        <v>112</v>
      </c>
      <c r="G86" t="s">
        <v>17</v>
      </c>
      <c r="H86">
        <v>5</v>
      </c>
      <c r="I86">
        <v>0</v>
      </c>
      <c r="J86">
        <v>0.11</v>
      </c>
      <c r="K86">
        <v>2.02</v>
      </c>
      <c r="L86" t="s">
        <v>39</v>
      </c>
      <c r="M86">
        <f>H86+I86</f>
        <v>0</v>
      </c>
      <c r="N86">
        <f>IF(M86&gt;0,H86/M86,"")</f>
        <v>0</v>
      </c>
      <c r="O86">
        <f>VALUE(TRIM(MID(L86,FIND(":",L86)+1,FIND(",",L86)-FIND(":",L86)-1)))+VALUE(TRIM(MID(L86,FIND("conditionals:",L86)+13,LEN(L86))))</f>
        <v>0</v>
      </c>
    </row>
    <row r="87" spans="1:15">
      <c r="A87">
        <v>1</v>
      </c>
      <c r="B87" t="s">
        <v>106</v>
      </c>
      <c r="C87">
        <v>0.5</v>
      </c>
      <c r="D87">
        <v>0.95</v>
      </c>
      <c r="E87">
        <v>100</v>
      </c>
      <c r="F87" t="s">
        <v>121</v>
      </c>
      <c r="G87" t="s">
        <v>122</v>
      </c>
      <c r="H87">
        <v>3</v>
      </c>
      <c r="I87">
        <v>0</v>
      </c>
      <c r="J87">
        <v>0.11</v>
      </c>
      <c r="K87">
        <v>2.02</v>
      </c>
      <c r="L87" t="s">
        <v>18</v>
      </c>
      <c r="M87">
        <f>H87+I87</f>
        <v>0</v>
      </c>
      <c r="N87">
        <f>IF(M87&gt;0,H87/M87,"")</f>
        <v>0</v>
      </c>
      <c r="O87">
        <f>VALUE(TRIM(MID(L87,FIND(":",L87)+1,FIND(",",L87)-FIND(":",L87)-1)))+VALUE(TRIM(MID(L87,FIND("conditionals:",L87)+13,LEN(L87))))</f>
        <v>0</v>
      </c>
    </row>
    <row r="88" spans="1:15">
      <c r="A88">
        <v>2</v>
      </c>
      <c r="B88" t="s">
        <v>106</v>
      </c>
      <c r="C88">
        <v>0.5</v>
      </c>
      <c r="D88">
        <v>0.95</v>
      </c>
      <c r="E88">
        <v>100</v>
      </c>
      <c r="F88" t="s">
        <v>123</v>
      </c>
      <c r="G88" t="s">
        <v>105</v>
      </c>
      <c r="H88">
        <v>7</v>
      </c>
      <c r="I88">
        <v>0</v>
      </c>
      <c r="J88">
        <v>0.11</v>
      </c>
      <c r="K88">
        <v>2.01</v>
      </c>
      <c r="L88" t="s">
        <v>45</v>
      </c>
      <c r="M88">
        <f>H88+I88</f>
        <v>0</v>
      </c>
      <c r="N88">
        <f>IF(M88&gt;0,H88/M88,"")</f>
        <v>0</v>
      </c>
      <c r="O88">
        <f>VALUE(TRIM(MID(L88,FIND(":",L88)+1,FIND(",",L88)-FIND(":",L88)-1)))+VALUE(TRIM(MID(L88,FIND("conditionals:",L88)+13,LEN(L88))))</f>
        <v>0</v>
      </c>
    </row>
    <row r="89" spans="1:15">
      <c r="A89">
        <v>3</v>
      </c>
      <c r="B89" t="s">
        <v>106</v>
      </c>
      <c r="C89">
        <v>0.5</v>
      </c>
      <c r="D89">
        <v>0.95</v>
      </c>
      <c r="E89">
        <v>100</v>
      </c>
      <c r="F89" t="s">
        <v>124</v>
      </c>
      <c r="G89" t="s">
        <v>29</v>
      </c>
      <c r="H89">
        <v>6</v>
      </c>
      <c r="I89">
        <v>0</v>
      </c>
      <c r="J89">
        <v>0.11</v>
      </c>
      <c r="K89">
        <v>2.04</v>
      </c>
      <c r="L89" t="s">
        <v>48</v>
      </c>
      <c r="M89">
        <f>H89+I89</f>
        <v>0</v>
      </c>
      <c r="N89">
        <f>IF(M89&gt;0,H89/M89,"")</f>
        <v>0</v>
      </c>
      <c r="O89">
        <f>VALUE(TRIM(MID(L89,FIND(":",L89)+1,FIND(",",L89)-FIND(":",L89)-1)))+VALUE(TRIM(MID(L89,FIND("conditionals:",L89)+13,LEN(L89))))</f>
        <v>0</v>
      </c>
    </row>
    <row r="90" spans="1:15">
      <c r="A90">
        <v>4</v>
      </c>
      <c r="B90" t="s">
        <v>106</v>
      </c>
      <c r="C90">
        <v>0.5</v>
      </c>
      <c r="D90">
        <v>0.95</v>
      </c>
      <c r="E90">
        <v>100</v>
      </c>
      <c r="F90" t="s">
        <v>125</v>
      </c>
      <c r="G90" t="s">
        <v>111</v>
      </c>
      <c r="H90">
        <v>8</v>
      </c>
      <c r="I90">
        <v>1</v>
      </c>
      <c r="J90">
        <v>0.11</v>
      </c>
      <c r="K90">
        <v>2.03</v>
      </c>
      <c r="L90" t="s">
        <v>27</v>
      </c>
      <c r="M90">
        <f>H90+I90</f>
        <v>0</v>
      </c>
      <c r="N90">
        <f>IF(M90&gt;0,H90/M90,"")</f>
        <v>0</v>
      </c>
      <c r="O90">
        <f>VALUE(TRIM(MID(L90,FIND(":",L90)+1,FIND(",",L90)-FIND(":",L90)-1)))+VALUE(TRIM(MID(L90,FIND("conditionals:",L90)+13,LEN(L90))))</f>
        <v>0</v>
      </c>
    </row>
    <row r="91" spans="1:15">
      <c r="A91">
        <v>5</v>
      </c>
      <c r="B91" t="s">
        <v>106</v>
      </c>
      <c r="C91">
        <v>0.5</v>
      </c>
      <c r="D91">
        <v>0.95</v>
      </c>
      <c r="E91">
        <v>100</v>
      </c>
      <c r="F91" t="s">
        <v>126</v>
      </c>
      <c r="G91" t="s">
        <v>98</v>
      </c>
      <c r="H91">
        <v>4</v>
      </c>
      <c r="I91">
        <v>0</v>
      </c>
      <c r="J91">
        <v>0.11</v>
      </c>
      <c r="K91">
        <v>2.02</v>
      </c>
      <c r="L91" t="s">
        <v>127</v>
      </c>
      <c r="M91">
        <f>H91+I91</f>
        <v>0</v>
      </c>
      <c r="N91">
        <f>IF(M91&gt;0,H91/M91,"")</f>
        <v>0</v>
      </c>
      <c r="O91">
        <f>VALUE(TRIM(MID(L91,FIND(":",L91)+1,FIND(",",L91)-FIND(":",L91)-1)))+VALUE(TRIM(MID(L91,FIND("conditionals:",L91)+13,LEN(L91))))</f>
        <v>0</v>
      </c>
    </row>
    <row r="92" spans="1:15">
      <c r="A92">
        <v>1</v>
      </c>
      <c r="B92" t="s">
        <v>106</v>
      </c>
      <c r="C92">
        <v>1</v>
      </c>
      <c r="D92">
        <v>0.1</v>
      </c>
      <c r="E92">
        <v>10</v>
      </c>
      <c r="F92" t="s">
        <v>113</v>
      </c>
      <c r="G92" t="s">
        <v>17</v>
      </c>
      <c r="H92">
        <v>5</v>
      </c>
      <c r="I92">
        <v>0</v>
      </c>
      <c r="J92">
        <v>0.11</v>
      </c>
      <c r="K92">
        <v>2.04</v>
      </c>
      <c r="L92" t="s">
        <v>18</v>
      </c>
      <c r="M92">
        <f>H92+I92</f>
        <v>0</v>
      </c>
      <c r="N92">
        <f>IF(M92&gt;0,H92/M92,"")</f>
        <v>0</v>
      </c>
      <c r="O92">
        <f>VALUE(TRIM(MID(L92,FIND(":",L92)+1,FIND(",",L92)-FIND(":",L92)-1)))+VALUE(TRIM(MID(L92,FIND("conditionals:",L92)+13,LEN(L92))))</f>
        <v>0</v>
      </c>
    </row>
    <row r="93" spans="1:15">
      <c r="A93">
        <v>2</v>
      </c>
      <c r="B93" t="s">
        <v>106</v>
      </c>
      <c r="C93">
        <v>1</v>
      </c>
      <c r="D93">
        <v>0.1</v>
      </c>
      <c r="E93">
        <v>10</v>
      </c>
      <c r="F93" t="s">
        <v>108</v>
      </c>
      <c r="G93" t="s">
        <v>105</v>
      </c>
      <c r="H93">
        <v>7</v>
      </c>
      <c r="I93">
        <v>0</v>
      </c>
      <c r="J93">
        <v>0.11</v>
      </c>
      <c r="K93">
        <v>2.02</v>
      </c>
      <c r="L93" t="s">
        <v>45</v>
      </c>
      <c r="M93">
        <f>H93+I93</f>
        <v>0</v>
      </c>
      <c r="N93">
        <f>IF(M93&gt;0,H93/M93,"")</f>
        <v>0</v>
      </c>
      <c r="O93">
        <f>VALUE(TRIM(MID(L93,FIND(":",L93)+1,FIND(",",L93)-FIND(":",L93)-1)))+VALUE(TRIM(MID(L93,FIND("conditionals:",L93)+13,LEN(L93))))</f>
        <v>0</v>
      </c>
    </row>
    <row r="94" spans="1:15">
      <c r="A94">
        <v>3</v>
      </c>
      <c r="B94" t="s">
        <v>106</v>
      </c>
      <c r="C94">
        <v>1</v>
      </c>
      <c r="D94">
        <v>0.1</v>
      </c>
      <c r="E94">
        <v>10</v>
      </c>
      <c r="F94" t="s">
        <v>128</v>
      </c>
      <c r="G94" t="s">
        <v>105</v>
      </c>
      <c r="H94">
        <v>7</v>
      </c>
      <c r="I94">
        <v>0</v>
      </c>
      <c r="J94">
        <v>0.11</v>
      </c>
      <c r="K94">
        <v>2.01</v>
      </c>
      <c r="L94" t="s">
        <v>48</v>
      </c>
      <c r="M94">
        <f>H94+I94</f>
        <v>0</v>
      </c>
      <c r="N94">
        <f>IF(M94&gt;0,H94/M94,"")</f>
        <v>0</v>
      </c>
      <c r="O94">
        <f>VALUE(TRIM(MID(L94,FIND(":",L94)+1,FIND(",",L94)-FIND(":",L94)-1)))+VALUE(TRIM(MID(L94,FIND("conditionals:",L94)+13,LEN(L94))))</f>
        <v>0</v>
      </c>
    </row>
    <row r="95" spans="1:15">
      <c r="A95">
        <v>4</v>
      </c>
      <c r="B95" t="s">
        <v>106</v>
      </c>
      <c r="C95">
        <v>1</v>
      </c>
      <c r="D95">
        <v>0.1</v>
      </c>
      <c r="E95">
        <v>10</v>
      </c>
      <c r="F95" t="s">
        <v>129</v>
      </c>
      <c r="G95" t="s">
        <v>67</v>
      </c>
      <c r="H95">
        <v>9</v>
      </c>
      <c r="I95">
        <v>0</v>
      </c>
      <c r="J95">
        <v>0.11</v>
      </c>
      <c r="K95">
        <v>2.04</v>
      </c>
      <c r="L95" t="s">
        <v>27</v>
      </c>
      <c r="M95">
        <f>H95+I95</f>
        <v>0</v>
      </c>
      <c r="N95">
        <f>IF(M95&gt;0,H95/M95,"")</f>
        <v>0</v>
      </c>
      <c r="O95">
        <f>VALUE(TRIM(MID(L95,FIND(":",L95)+1,FIND(",",L95)-FIND(":",L95)-1)))+VALUE(TRIM(MID(L95,FIND("conditionals:",L95)+13,LEN(L95))))</f>
        <v>0</v>
      </c>
    </row>
    <row r="96" spans="1:15">
      <c r="A96">
        <v>5</v>
      </c>
      <c r="B96" t="s">
        <v>106</v>
      </c>
      <c r="C96">
        <v>1</v>
      </c>
      <c r="D96">
        <v>0.1</v>
      </c>
      <c r="E96">
        <v>10</v>
      </c>
      <c r="F96" t="s">
        <v>130</v>
      </c>
      <c r="G96" t="s">
        <v>17</v>
      </c>
      <c r="H96">
        <v>5</v>
      </c>
      <c r="I96">
        <v>0</v>
      </c>
      <c r="J96">
        <v>0.11</v>
      </c>
      <c r="K96">
        <v>2.01</v>
      </c>
      <c r="L96" t="s">
        <v>39</v>
      </c>
      <c r="M96">
        <f>H96+I96</f>
        <v>0</v>
      </c>
      <c r="N96">
        <f>IF(M96&gt;0,H96/M96,"")</f>
        <v>0</v>
      </c>
      <c r="O96">
        <f>VALUE(TRIM(MID(L96,FIND(":",L96)+1,FIND(",",L96)-FIND(":",L96)-1)))+VALUE(TRIM(MID(L96,FIND("conditionals:",L96)+13,LEN(L96))))</f>
        <v>0</v>
      </c>
    </row>
    <row r="97" spans="1:15">
      <c r="A97">
        <v>1</v>
      </c>
      <c r="B97" t="s">
        <v>106</v>
      </c>
      <c r="C97">
        <v>1</v>
      </c>
      <c r="D97">
        <v>0.5</v>
      </c>
      <c r="E97">
        <v>30</v>
      </c>
      <c r="F97" t="s">
        <v>113</v>
      </c>
      <c r="G97" t="s">
        <v>17</v>
      </c>
      <c r="H97">
        <v>5</v>
      </c>
      <c r="I97">
        <v>0</v>
      </c>
      <c r="J97">
        <v>0.11</v>
      </c>
      <c r="K97">
        <v>2.01</v>
      </c>
      <c r="L97" t="s">
        <v>18</v>
      </c>
      <c r="M97">
        <f>H97+I97</f>
        <v>0</v>
      </c>
      <c r="N97">
        <f>IF(M97&gt;0,H97/M97,"")</f>
        <v>0</v>
      </c>
      <c r="O97">
        <f>VALUE(TRIM(MID(L97,FIND(":",L97)+1,FIND(",",L97)-FIND(":",L97)-1)))+VALUE(TRIM(MID(L97,FIND("conditionals:",L97)+13,LEN(L97))))</f>
        <v>0</v>
      </c>
    </row>
    <row r="98" spans="1:15">
      <c r="A98">
        <v>2</v>
      </c>
      <c r="B98" t="s">
        <v>106</v>
      </c>
      <c r="C98">
        <v>1</v>
      </c>
      <c r="D98">
        <v>0.5</v>
      </c>
      <c r="E98">
        <v>30</v>
      </c>
      <c r="F98" t="s">
        <v>108</v>
      </c>
      <c r="G98" t="s">
        <v>105</v>
      </c>
      <c r="H98">
        <v>7</v>
      </c>
      <c r="I98">
        <v>0</v>
      </c>
      <c r="J98">
        <v>0.11</v>
      </c>
      <c r="K98">
        <v>2.02</v>
      </c>
      <c r="L98" t="s">
        <v>45</v>
      </c>
      <c r="M98">
        <f>H98+I98</f>
        <v>0</v>
      </c>
      <c r="N98">
        <f>IF(M98&gt;0,H98/M98,"")</f>
        <v>0</v>
      </c>
      <c r="O98">
        <f>VALUE(TRIM(MID(L98,FIND(":",L98)+1,FIND(",",L98)-FIND(":",L98)-1)))+VALUE(TRIM(MID(L98,FIND("conditionals:",L98)+13,LEN(L98))))</f>
        <v>0</v>
      </c>
    </row>
    <row r="99" spans="1:15">
      <c r="A99">
        <v>3</v>
      </c>
      <c r="B99" t="s">
        <v>106</v>
      </c>
      <c r="C99">
        <v>1</v>
      </c>
      <c r="D99">
        <v>0.5</v>
      </c>
      <c r="E99">
        <v>30</v>
      </c>
      <c r="F99" t="s">
        <v>131</v>
      </c>
      <c r="G99" t="s">
        <v>105</v>
      </c>
      <c r="H99">
        <v>7</v>
      </c>
      <c r="I99">
        <v>0</v>
      </c>
      <c r="J99">
        <v>0.11</v>
      </c>
      <c r="K99">
        <v>2.01</v>
      </c>
      <c r="L99" t="s">
        <v>48</v>
      </c>
      <c r="M99">
        <f>H99+I99</f>
        <v>0</v>
      </c>
      <c r="N99">
        <f>IF(M99&gt;0,H99/M99,"")</f>
        <v>0</v>
      </c>
      <c r="O99">
        <f>VALUE(TRIM(MID(L99,FIND(":",L99)+1,FIND(",",L99)-FIND(":",L99)-1)))+VALUE(TRIM(MID(L99,FIND("conditionals:",L99)+13,LEN(L99))))</f>
        <v>0</v>
      </c>
    </row>
    <row r="100" spans="1:15">
      <c r="A100">
        <v>4</v>
      </c>
      <c r="B100" t="s">
        <v>106</v>
      </c>
      <c r="C100">
        <v>1</v>
      </c>
      <c r="D100">
        <v>0.5</v>
      </c>
      <c r="E100">
        <v>30</v>
      </c>
      <c r="F100" t="s">
        <v>132</v>
      </c>
      <c r="G100" t="s">
        <v>116</v>
      </c>
      <c r="H100">
        <v>10</v>
      </c>
      <c r="I100">
        <v>0</v>
      </c>
      <c r="J100">
        <v>0.11</v>
      </c>
      <c r="K100">
        <v>2.03</v>
      </c>
      <c r="L100" t="s">
        <v>27</v>
      </c>
      <c r="M100">
        <f>H100+I100</f>
        <v>0</v>
      </c>
      <c r="N100">
        <f>IF(M100&gt;0,H100/M100,"")</f>
        <v>0</v>
      </c>
      <c r="O100">
        <f>VALUE(TRIM(MID(L100,FIND(":",L100)+1,FIND(",",L100)-FIND(":",L100)-1)))+VALUE(TRIM(MID(L100,FIND("conditionals:",L100)+13,LEN(L100))))</f>
        <v>0</v>
      </c>
    </row>
    <row r="101" spans="1:15">
      <c r="A101">
        <v>5</v>
      </c>
      <c r="B101" t="s">
        <v>106</v>
      </c>
      <c r="C101">
        <v>1</v>
      </c>
      <c r="D101">
        <v>0.5</v>
      </c>
      <c r="E101">
        <v>30</v>
      </c>
      <c r="F101" t="s">
        <v>133</v>
      </c>
      <c r="G101" t="s">
        <v>29</v>
      </c>
      <c r="H101">
        <v>6</v>
      </c>
      <c r="I101">
        <v>0</v>
      </c>
      <c r="J101">
        <v>0.11</v>
      </c>
      <c r="K101">
        <v>2.05</v>
      </c>
      <c r="L101" t="s">
        <v>30</v>
      </c>
      <c r="M101">
        <f>H101+I101</f>
        <v>0</v>
      </c>
      <c r="N101">
        <f>IF(M101&gt;0,H101/M101,"")</f>
        <v>0</v>
      </c>
      <c r="O101">
        <f>VALUE(TRIM(MID(L101,FIND(":",L101)+1,FIND(",",L101)-FIND(":",L101)-1)))+VALUE(TRIM(MID(L101,FIND("conditionals:",L101)+13,LEN(L101))))</f>
        <v>0</v>
      </c>
    </row>
    <row r="102" spans="1:15">
      <c r="A102">
        <v>1</v>
      </c>
      <c r="B102" t="s">
        <v>106</v>
      </c>
      <c r="C102">
        <v>1</v>
      </c>
      <c r="D102">
        <v>0.95</v>
      </c>
      <c r="E102">
        <v>100</v>
      </c>
      <c r="F102" t="s">
        <v>134</v>
      </c>
      <c r="G102" t="s">
        <v>122</v>
      </c>
      <c r="H102">
        <v>3</v>
      </c>
      <c r="I102">
        <v>0</v>
      </c>
      <c r="J102">
        <v>0.11</v>
      </c>
      <c r="K102">
        <v>2.02</v>
      </c>
      <c r="L102" t="s">
        <v>18</v>
      </c>
      <c r="M102">
        <f>H102+I102</f>
        <v>0</v>
      </c>
      <c r="N102">
        <f>IF(M102&gt;0,H102/M102,"")</f>
        <v>0</v>
      </c>
      <c r="O102">
        <f>VALUE(TRIM(MID(L102,FIND(":",L102)+1,FIND(",",L102)-FIND(":",L102)-1)))+VALUE(TRIM(MID(L102,FIND("conditionals:",L102)+13,LEN(L102))))</f>
        <v>0</v>
      </c>
    </row>
    <row r="103" spans="1:15">
      <c r="A103">
        <v>2</v>
      </c>
      <c r="B103" t="s">
        <v>106</v>
      </c>
      <c r="C103">
        <v>1</v>
      </c>
      <c r="D103">
        <v>0.95</v>
      </c>
      <c r="E103">
        <v>100</v>
      </c>
      <c r="F103" t="s">
        <v>135</v>
      </c>
      <c r="G103" t="s">
        <v>105</v>
      </c>
      <c r="H103">
        <v>7</v>
      </c>
      <c r="I103">
        <v>0</v>
      </c>
      <c r="J103">
        <v>0.11</v>
      </c>
      <c r="K103">
        <v>2.01</v>
      </c>
      <c r="L103" t="s">
        <v>45</v>
      </c>
      <c r="M103">
        <f>H103+I103</f>
        <v>0</v>
      </c>
      <c r="N103">
        <f>IF(M103&gt;0,H103/M103,"")</f>
        <v>0</v>
      </c>
      <c r="O103">
        <f>VALUE(TRIM(MID(L103,FIND(":",L103)+1,FIND(",",L103)-FIND(":",L103)-1)))+VALUE(TRIM(MID(L103,FIND("conditionals:",L103)+13,LEN(L103))))</f>
        <v>0</v>
      </c>
    </row>
    <row r="104" spans="1:15">
      <c r="A104">
        <v>3</v>
      </c>
      <c r="B104" t="s">
        <v>106</v>
      </c>
      <c r="C104">
        <v>1</v>
      </c>
      <c r="D104">
        <v>0.95</v>
      </c>
      <c r="E104">
        <v>100</v>
      </c>
      <c r="F104" t="s">
        <v>136</v>
      </c>
      <c r="G104" t="s">
        <v>29</v>
      </c>
      <c r="H104">
        <v>6</v>
      </c>
      <c r="I104">
        <v>0</v>
      </c>
      <c r="J104">
        <v>0.11</v>
      </c>
      <c r="K104">
        <v>2.02</v>
      </c>
      <c r="L104" t="s">
        <v>48</v>
      </c>
      <c r="M104">
        <f>H104+I104</f>
        <v>0</v>
      </c>
      <c r="N104">
        <f>IF(M104&gt;0,H104/M104,"")</f>
        <v>0</v>
      </c>
      <c r="O104">
        <f>VALUE(TRIM(MID(L104,FIND(":",L104)+1,FIND(",",L104)-FIND(":",L104)-1)))+VALUE(TRIM(MID(L104,FIND("conditionals:",L104)+13,LEN(L104))))</f>
        <v>0</v>
      </c>
    </row>
    <row r="105" spans="1:15">
      <c r="A105">
        <v>4</v>
      </c>
      <c r="B105" t="s">
        <v>106</v>
      </c>
      <c r="C105">
        <v>1</v>
      </c>
      <c r="D105">
        <v>0.95</v>
      </c>
      <c r="E105">
        <v>100</v>
      </c>
      <c r="F105" t="s">
        <v>137</v>
      </c>
      <c r="G105" t="s">
        <v>105</v>
      </c>
      <c r="H105">
        <v>7</v>
      </c>
      <c r="I105">
        <v>0</v>
      </c>
      <c r="J105">
        <v>0.11</v>
      </c>
      <c r="K105">
        <v>2.01</v>
      </c>
      <c r="L105" t="s">
        <v>138</v>
      </c>
      <c r="M105">
        <f>H105+I105</f>
        <v>0</v>
      </c>
      <c r="N105">
        <f>IF(M105&gt;0,H105/M105,"")</f>
        <v>0</v>
      </c>
      <c r="O105">
        <f>VALUE(TRIM(MID(L105,FIND(":",L105)+1,FIND(",",L105)-FIND(":",L105)-1)))+VALUE(TRIM(MID(L105,FIND("conditionals:",L105)+13,LEN(L105))))</f>
        <v>0</v>
      </c>
    </row>
    <row r="106" spans="1:15">
      <c r="A106">
        <v>5</v>
      </c>
      <c r="B106" t="s">
        <v>106</v>
      </c>
      <c r="C106">
        <v>1</v>
      </c>
      <c r="D106">
        <v>0.95</v>
      </c>
      <c r="E106">
        <v>100</v>
      </c>
      <c r="F106" t="s">
        <v>139</v>
      </c>
      <c r="G106" t="s">
        <v>98</v>
      </c>
      <c r="H106">
        <v>4</v>
      </c>
      <c r="I106">
        <v>0</v>
      </c>
      <c r="J106">
        <v>0.11</v>
      </c>
      <c r="K106">
        <v>2.01</v>
      </c>
      <c r="L106" t="s">
        <v>39</v>
      </c>
      <c r="M106">
        <f>H106+I106</f>
        <v>0</v>
      </c>
      <c r="N106">
        <f>IF(M106&gt;0,H106/M106,"")</f>
        <v>0</v>
      </c>
      <c r="O106">
        <f>VALUE(TRIM(MID(L106,FIND(":",L106)+1,FIND(",",L106)-FIND(":",L106)-1)))+VALUE(TRIM(MID(L106,FIND("conditionals:",L106)+13,LEN(L106))))</f>
        <v>0</v>
      </c>
    </row>
    <row r="107" spans="1:15">
      <c r="A107">
        <v>1</v>
      </c>
      <c r="B107" t="s">
        <v>106</v>
      </c>
      <c r="C107">
        <v>2</v>
      </c>
      <c r="D107">
        <v>0.1</v>
      </c>
      <c r="E107">
        <v>10</v>
      </c>
      <c r="F107" t="s">
        <v>113</v>
      </c>
      <c r="G107" t="s">
        <v>17</v>
      </c>
      <c r="H107">
        <v>5</v>
      </c>
      <c r="I107">
        <v>0</v>
      </c>
      <c r="J107">
        <v>0.11</v>
      </c>
      <c r="K107">
        <v>2.02</v>
      </c>
      <c r="L107" t="s">
        <v>18</v>
      </c>
      <c r="M107">
        <f>H107+I107</f>
        <v>0</v>
      </c>
      <c r="N107">
        <f>IF(M107&gt;0,H107/M107,"")</f>
        <v>0</v>
      </c>
      <c r="O107">
        <f>VALUE(TRIM(MID(L107,FIND(":",L107)+1,FIND(",",L107)-FIND(":",L107)-1)))+VALUE(TRIM(MID(L107,FIND("conditionals:",L107)+13,LEN(L107))))</f>
        <v>0</v>
      </c>
    </row>
    <row r="108" spans="1:15">
      <c r="A108">
        <v>2</v>
      </c>
      <c r="B108" t="s">
        <v>106</v>
      </c>
      <c r="C108">
        <v>2</v>
      </c>
      <c r="D108">
        <v>0.1</v>
      </c>
      <c r="E108">
        <v>10</v>
      </c>
      <c r="F108" t="s">
        <v>108</v>
      </c>
      <c r="G108" t="s">
        <v>105</v>
      </c>
      <c r="H108">
        <v>7</v>
      </c>
      <c r="I108">
        <v>0</v>
      </c>
      <c r="J108">
        <v>0.11</v>
      </c>
      <c r="K108">
        <v>2.01</v>
      </c>
      <c r="L108" t="s">
        <v>45</v>
      </c>
      <c r="M108">
        <f>H108+I108</f>
        <v>0</v>
      </c>
      <c r="N108">
        <f>IF(M108&gt;0,H108/M108,"")</f>
        <v>0</v>
      </c>
      <c r="O108">
        <f>VALUE(TRIM(MID(L108,FIND(":",L108)+1,FIND(",",L108)-FIND(":",L108)-1)))+VALUE(TRIM(MID(L108,FIND("conditionals:",L108)+13,LEN(L108))))</f>
        <v>0</v>
      </c>
    </row>
    <row r="109" spans="1:15">
      <c r="A109">
        <v>3</v>
      </c>
      <c r="B109" t="s">
        <v>106</v>
      </c>
      <c r="C109">
        <v>2</v>
      </c>
      <c r="D109">
        <v>0.1</v>
      </c>
      <c r="E109">
        <v>10</v>
      </c>
      <c r="F109" t="s">
        <v>128</v>
      </c>
      <c r="G109" t="s">
        <v>105</v>
      </c>
      <c r="H109">
        <v>7</v>
      </c>
      <c r="I109">
        <v>0</v>
      </c>
      <c r="J109">
        <v>0.11</v>
      </c>
      <c r="K109">
        <v>2.03</v>
      </c>
      <c r="L109" t="s">
        <v>48</v>
      </c>
      <c r="M109">
        <f>H109+I109</f>
        <v>0</v>
      </c>
      <c r="N109">
        <f>IF(M109&gt;0,H109/M109,"")</f>
        <v>0</v>
      </c>
      <c r="O109">
        <f>VALUE(TRIM(MID(L109,FIND(":",L109)+1,FIND(",",L109)-FIND(":",L109)-1)))+VALUE(TRIM(MID(L109,FIND("conditionals:",L109)+13,LEN(L109))))</f>
        <v>0</v>
      </c>
    </row>
    <row r="110" spans="1:15">
      <c r="A110">
        <v>4</v>
      </c>
      <c r="B110" t="s">
        <v>106</v>
      </c>
      <c r="C110">
        <v>2</v>
      </c>
      <c r="D110">
        <v>0.1</v>
      </c>
      <c r="E110">
        <v>10</v>
      </c>
      <c r="F110" t="s">
        <v>140</v>
      </c>
      <c r="G110" t="s">
        <v>141</v>
      </c>
      <c r="H110">
        <v>13</v>
      </c>
      <c r="I110">
        <v>1</v>
      </c>
      <c r="J110">
        <v>0.12</v>
      </c>
      <c r="K110">
        <v>2.01</v>
      </c>
      <c r="L110" t="s">
        <v>27</v>
      </c>
      <c r="M110">
        <f>H110+I110</f>
        <v>0</v>
      </c>
      <c r="N110">
        <f>IF(M110&gt;0,H110/M110,"")</f>
        <v>0</v>
      </c>
      <c r="O110">
        <f>VALUE(TRIM(MID(L110,FIND(":",L110)+1,FIND(",",L110)-FIND(":",L110)-1)))+VALUE(TRIM(MID(L110,FIND("conditionals:",L110)+13,LEN(L110))))</f>
        <v>0</v>
      </c>
    </row>
    <row r="111" spans="1:15">
      <c r="A111">
        <v>5</v>
      </c>
      <c r="B111" t="s">
        <v>106</v>
      </c>
      <c r="C111">
        <v>2</v>
      </c>
      <c r="D111">
        <v>0.1</v>
      </c>
      <c r="E111">
        <v>10</v>
      </c>
      <c r="F111" t="s">
        <v>130</v>
      </c>
      <c r="G111" t="s">
        <v>17</v>
      </c>
      <c r="H111">
        <v>5</v>
      </c>
      <c r="I111">
        <v>0</v>
      </c>
      <c r="J111">
        <v>0.11</v>
      </c>
      <c r="K111">
        <v>2.04</v>
      </c>
      <c r="L111" t="s">
        <v>39</v>
      </c>
      <c r="M111">
        <f>H111+I111</f>
        <v>0</v>
      </c>
      <c r="N111">
        <f>IF(M111&gt;0,H111/M111,"")</f>
        <v>0</v>
      </c>
      <c r="O111">
        <f>VALUE(TRIM(MID(L111,FIND(":",L111)+1,FIND(",",L111)-FIND(":",L111)-1)))+VALUE(TRIM(MID(L111,FIND("conditionals:",L111)+13,LEN(L111))))</f>
        <v>0</v>
      </c>
    </row>
    <row r="112" spans="1:15">
      <c r="A112">
        <v>1</v>
      </c>
      <c r="B112" t="s">
        <v>106</v>
      </c>
      <c r="C112">
        <v>2</v>
      </c>
      <c r="D112">
        <v>0.5</v>
      </c>
      <c r="E112">
        <v>30</v>
      </c>
      <c r="F112" t="s">
        <v>107</v>
      </c>
      <c r="G112" t="s">
        <v>17</v>
      </c>
      <c r="H112">
        <v>5</v>
      </c>
      <c r="I112">
        <v>0</v>
      </c>
      <c r="J112">
        <v>0.11</v>
      </c>
      <c r="K112">
        <v>2.02</v>
      </c>
      <c r="L112" t="s">
        <v>18</v>
      </c>
      <c r="M112">
        <f>H112+I112</f>
        <v>0</v>
      </c>
      <c r="N112">
        <f>IF(M112&gt;0,H112/M112,"")</f>
        <v>0</v>
      </c>
      <c r="O112">
        <f>VALUE(TRIM(MID(L112,FIND(":",L112)+1,FIND(",",L112)-FIND(":",L112)-1)))+VALUE(TRIM(MID(L112,FIND("conditionals:",L112)+13,LEN(L112))))</f>
        <v>0</v>
      </c>
    </row>
    <row r="113" spans="1:15">
      <c r="A113">
        <v>2</v>
      </c>
      <c r="B113" t="s">
        <v>106</v>
      </c>
      <c r="C113">
        <v>2</v>
      </c>
      <c r="D113">
        <v>0.5</v>
      </c>
      <c r="E113">
        <v>30</v>
      </c>
      <c r="F113" t="s">
        <v>108</v>
      </c>
      <c r="G113" t="s">
        <v>105</v>
      </c>
      <c r="H113">
        <v>7</v>
      </c>
      <c r="I113">
        <v>0</v>
      </c>
      <c r="J113">
        <v>0.11</v>
      </c>
      <c r="K113">
        <v>2.01</v>
      </c>
      <c r="L113" t="s">
        <v>45</v>
      </c>
      <c r="M113">
        <f>H113+I113</f>
        <v>0</v>
      </c>
      <c r="N113">
        <f>IF(M113&gt;0,H113/M113,"")</f>
        <v>0</v>
      </c>
      <c r="O113">
        <f>VALUE(TRIM(MID(L113,FIND(":",L113)+1,FIND(",",L113)-FIND(":",L113)-1)))+VALUE(TRIM(MID(L113,FIND("conditionals:",L113)+13,LEN(L113))))</f>
        <v>0</v>
      </c>
    </row>
    <row r="114" spans="1:15">
      <c r="A114">
        <v>3</v>
      </c>
      <c r="B114" t="s">
        <v>106</v>
      </c>
      <c r="C114">
        <v>2</v>
      </c>
      <c r="D114">
        <v>0.5</v>
      </c>
      <c r="E114">
        <v>30</v>
      </c>
      <c r="F114" t="s">
        <v>142</v>
      </c>
      <c r="G114" t="s">
        <v>29</v>
      </c>
      <c r="H114">
        <v>6</v>
      </c>
      <c r="I114">
        <v>0</v>
      </c>
      <c r="J114">
        <v>0.11</v>
      </c>
      <c r="K114">
        <v>2.01</v>
      </c>
      <c r="L114" t="s">
        <v>48</v>
      </c>
      <c r="M114">
        <f>H114+I114</f>
        <v>0</v>
      </c>
      <c r="N114">
        <f>IF(M114&gt;0,H114/M114,"")</f>
        <v>0</v>
      </c>
      <c r="O114">
        <f>VALUE(TRIM(MID(L114,FIND(":",L114)+1,FIND(",",L114)-FIND(":",L114)-1)))+VALUE(TRIM(MID(L114,FIND("conditionals:",L114)+13,LEN(L114))))</f>
        <v>0</v>
      </c>
    </row>
    <row r="115" spans="1:15">
      <c r="A115">
        <v>4</v>
      </c>
      <c r="B115" t="s">
        <v>106</v>
      </c>
      <c r="C115">
        <v>2</v>
      </c>
      <c r="D115">
        <v>0.5</v>
      </c>
      <c r="E115">
        <v>30</v>
      </c>
      <c r="F115" t="s">
        <v>143</v>
      </c>
      <c r="G115" t="s">
        <v>67</v>
      </c>
      <c r="H115">
        <v>9</v>
      </c>
      <c r="I115">
        <v>0</v>
      </c>
      <c r="J115">
        <v>0.11</v>
      </c>
      <c r="K115">
        <v>2.02</v>
      </c>
      <c r="L115" t="s">
        <v>27</v>
      </c>
      <c r="M115">
        <f>H115+I115</f>
        <v>0</v>
      </c>
      <c r="N115">
        <f>IF(M115&gt;0,H115/M115,"")</f>
        <v>0</v>
      </c>
      <c r="O115">
        <f>VALUE(TRIM(MID(L115,FIND(":",L115)+1,FIND(",",L115)-FIND(":",L115)-1)))+VALUE(TRIM(MID(L115,FIND("conditionals:",L115)+13,LEN(L115))))</f>
        <v>0</v>
      </c>
    </row>
    <row r="116" spans="1:15">
      <c r="A116">
        <v>5</v>
      </c>
      <c r="B116" t="s">
        <v>106</v>
      </c>
      <c r="C116">
        <v>2</v>
      </c>
      <c r="D116">
        <v>0.5</v>
      </c>
      <c r="E116">
        <v>30</v>
      </c>
      <c r="F116" t="s">
        <v>144</v>
      </c>
      <c r="G116" t="s">
        <v>98</v>
      </c>
      <c r="H116">
        <v>4</v>
      </c>
      <c r="I116">
        <v>0</v>
      </c>
      <c r="J116">
        <v>0.11</v>
      </c>
      <c r="K116">
        <v>2.02</v>
      </c>
      <c r="L116" t="s">
        <v>39</v>
      </c>
      <c r="M116">
        <f>H116+I116</f>
        <v>0</v>
      </c>
      <c r="N116">
        <f>IF(M116&gt;0,H116/M116,"")</f>
        <v>0</v>
      </c>
      <c r="O116">
        <f>VALUE(TRIM(MID(L116,FIND(":",L116)+1,FIND(",",L116)-FIND(":",L116)-1)))+VALUE(TRIM(MID(L116,FIND("conditionals:",L116)+13,LEN(L116))))</f>
        <v>0</v>
      </c>
    </row>
    <row r="117" spans="1:15">
      <c r="A117">
        <v>1</v>
      </c>
      <c r="B117" t="s">
        <v>106</v>
      </c>
      <c r="C117">
        <v>2</v>
      </c>
      <c r="D117">
        <v>0.95</v>
      </c>
      <c r="E117">
        <v>100</v>
      </c>
      <c r="F117" t="s">
        <v>145</v>
      </c>
      <c r="G117" t="s">
        <v>122</v>
      </c>
      <c r="H117">
        <v>3</v>
      </c>
      <c r="I117">
        <v>0</v>
      </c>
      <c r="J117">
        <v>0.11</v>
      </c>
      <c r="K117">
        <v>2.01</v>
      </c>
      <c r="L117" t="s">
        <v>18</v>
      </c>
      <c r="M117">
        <f>H117+I117</f>
        <v>0</v>
      </c>
      <c r="N117">
        <f>IF(M117&gt;0,H117/M117,"")</f>
        <v>0</v>
      </c>
      <c r="O117">
        <f>VALUE(TRIM(MID(L117,FIND(":",L117)+1,FIND(",",L117)-FIND(":",L117)-1)))+VALUE(TRIM(MID(L117,FIND("conditionals:",L117)+13,LEN(L117))))</f>
        <v>0</v>
      </c>
    </row>
    <row r="118" spans="1:15">
      <c r="A118">
        <v>2</v>
      </c>
      <c r="B118" t="s">
        <v>106</v>
      </c>
      <c r="C118">
        <v>2</v>
      </c>
      <c r="D118">
        <v>0.95</v>
      </c>
      <c r="E118">
        <v>100</v>
      </c>
      <c r="F118" t="s">
        <v>146</v>
      </c>
      <c r="G118" t="s">
        <v>98</v>
      </c>
      <c r="H118">
        <v>4</v>
      </c>
      <c r="I118">
        <v>0</v>
      </c>
      <c r="J118">
        <v>0.11</v>
      </c>
      <c r="K118">
        <v>2.02</v>
      </c>
      <c r="L118" t="s">
        <v>45</v>
      </c>
      <c r="M118">
        <f>H118+I118</f>
        <v>0</v>
      </c>
      <c r="N118">
        <f>IF(M118&gt;0,H118/M118,"")</f>
        <v>0</v>
      </c>
      <c r="O118">
        <f>VALUE(TRIM(MID(L118,FIND(":",L118)+1,FIND(",",L118)-FIND(":",L118)-1)))+VALUE(TRIM(MID(L118,FIND("conditionals:",L118)+13,LEN(L118))))</f>
        <v>0</v>
      </c>
    </row>
    <row r="119" spans="1:15">
      <c r="A119">
        <v>3</v>
      </c>
      <c r="B119" t="s">
        <v>106</v>
      </c>
      <c r="C119">
        <v>2</v>
      </c>
      <c r="D119">
        <v>0.95</v>
      </c>
      <c r="E119">
        <v>100</v>
      </c>
      <c r="F119" t="s">
        <v>147</v>
      </c>
      <c r="G119" t="s">
        <v>17</v>
      </c>
      <c r="H119">
        <v>5</v>
      </c>
      <c r="I119">
        <v>0</v>
      </c>
      <c r="J119">
        <v>0.11</v>
      </c>
      <c r="K119">
        <v>2.03</v>
      </c>
      <c r="L119" t="s">
        <v>48</v>
      </c>
      <c r="M119">
        <f>H119+I119</f>
        <v>0</v>
      </c>
      <c r="N119">
        <f>IF(M119&gt;0,H119/M119,"")</f>
        <v>0</v>
      </c>
      <c r="O119">
        <f>VALUE(TRIM(MID(L119,FIND(":",L119)+1,FIND(",",L119)-FIND(":",L119)-1)))+VALUE(TRIM(MID(L119,FIND("conditionals:",L119)+13,LEN(L119))))</f>
        <v>0</v>
      </c>
    </row>
    <row r="120" spans="1:15">
      <c r="A120">
        <v>4</v>
      </c>
      <c r="B120" t="s">
        <v>106</v>
      </c>
      <c r="C120">
        <v>2</v>
      </c>
      <c r="D120">
        <v>0.95</v>
      </c>
      <c r="E120">
        <v>100</v>
      </c>
      <c r="F120" t="s">
        <v>148</v>
      </c>
      <c r="G120" t="s">
        <v>17</v>
      </c>
      <c r="H120">
        <v>5</v>
      </c>
      <c r="I120">
        <v>0</v>
      </c>
      <c r="J120">
        <v>0.11</v>
      </c>
      <c r="K120">
        <v>2.01</v>
      </c>
      <c r="L120" t="s">
        <v>27</v>
      </c>
      <c r="M120">
        <f>H120+I120</f>
        <v>0</v>
      </c>
      <c r="N120">
        <f>IF(M120&gt;0,H120/M120,"")</f>
        <v>0</v>
      </c>
      <c r="O120">
        <f>VALUE(TRIM(MID(L120,FIND(":",L120)+1,FIND(",",L120)-FIND(":",L120)-1)))+VALUE(TRIM(MID(L120,FIND("conditionals:",L120)+13,LEN(L120))))</f>
        <v>0</v>
      </c>
    </row>
    <row r="121" spans="1:15">
      <c r="A121">
        <v>5</v>
      </c>
      <c r="B121" t="s">
        <v>106</v>
      </c>
      <c r="C121">
        <v>2</v>
      </c>
      <c r="D121">
        <v>0.95</v>
      </c>
      <c r="E121">
        <v>100</v>
      </c>
      <c r="F121" t="s">
        <v>149</v>
      </c>
      <c r="G121" t="s">
        <v>122</v>
      </c>
      <c r="H121">
        <v>3</v>
      </c>
      <c r="I121">
        <v>0</v>
      </c>
      <c r="J121">
        <v>0.11</v>
      </c>
      <c r="K121">
        <v>2.07</v>
      </c>
      <c r="L121" t="s">
        <v>150</v>
      </c>
      <c r="M121">
        <f>H121+I121</f>
        <v>0</v>
      </c>
      <c r="N121">
        <f>IF(M121&gt;0,H121/M121,"")</f>
        <v>0</v>
      </c>
      <c r="O121">
        <f>VALUE(TRIM(MID(L121,FIND(":",L121)+1,FIND(",",L121)-FIND(":",L121)-1)))+VALUE(TRIM(MID(L121,FIND("conditionals:",L121)+13,LEN(L121))))</f>
        <v>0</v>
      </c>
    </row>
    <row r="122" spans="1:15">
      <c r="A122">
        <v>1</v>
      </c>
      <c r="B122" t="s">
        <v>151</v>
      </c>
      <c r="C122">
        <v>0</v>
      </c>
      <c r="D122">
        <v>0.1</v>
      </c>
      <c r="E122">
        <v>10</v>
      </c>
      <c r="F122" t="s">
        <v>152</v>
      </c>
      <c r="G122" t="s">
        <v>98</v>
      </c>
      <c r="H122">
        <v>4</v>
      </c>
      <c r="I122">
        <v>0</v>
      </c>
      <c r="J122">
        <v>0.11</v>
      </c>
      <c r="K122">
        <v>2.01</v>
      </c>
      <c r="L122" t="s">
        <v>42</v>
      </c>
      <c r="M122">
        <f>H122+I122</f>
        <v>0</v>
      </c>
      <c r="N122">
        <f>IF(M122&gt;0,H122/M122,"")</f>
        <v>0</v>
      </c>
      <c r="O122">
        <f>VALUE(TRIM(MID(L122,FIND(":",L122)+1,FIND(",",L122)-FIND(":",L122)-1)))+VALUE(TRIM(MID(L122,FIND("conditionals:",L122)+13,LEN(L122))))</f>
        <v>0</v>
      </c>
    </row>
    <row r="123" spans="1:15">
      <c r="A123">
        <v>2</v>
      </c>
      <c r="B123" t="s">
        <v>151</v>
      </c>
      <c r="C123">
        <v>0</v>
      </c>
      <c r="D123">
        <v>0.1</v>
      </c>
      <c r="E123">
        <v>10</v>
      </c>
      <c r="F123" t="s">
        <v>153</v>
      </c>
      <c r="G123" t="s">
        <v>105</v>
      </c>
      <c r="H123">
        <v>7</v>
      </c>
      <c r="I123">
        <v>0</v>
      </c>
      <c r="J123">
        <v>0.11</v>
      </c>
      <c r="K123">
        <v>2.02</v>
      </c>
      <c r="L123" t="s">
        <v>154</v>
      </c>
      <c r="M123">
        <f>H123+I123</f>
        <v>0</v>
      </c>
      <c r="N123">
        <f>IF(M123&gt;0,H123/M123,"")</f>
        <v>0</v>
      </c>
      <c r="O123">
        <f>VALUE(TRIM(MID(L123,FIND(":",L123)+1,FIND(",",L123)-FIND(":",L123)-1)))+VALUE(TRIM(MID(L123,FIND("conditionals:",L123)+13,LEN(L123))))</f>
        <v>0</v>
      </c>
    </row>
    <row r="124" spans="1:15">
      <c r="A124">
        <v>3</v>
      </c>
      <c r="B124" t="s">
        <v>151</v>
      </c>
      <c r="C124">
        <v>0</v>
      </c>
      <c r="D124">
        <v>0.1</v>
      </c>
      <c r="E124">
        <v>10</v>
      </c>
      <c r="F124" t="s">
        <v>155</v>
      </c>
      <c r="G124" t="s">
        <v>29</v>
      </c>
      <c r="H124">
        <v>6</v>
      </c>
      <c r="I124">
        <v>0</v>
      </c>
      <c r="J124">
        <v>0.11</v>
      </c>
      <c r="K124">
        <v>2.01</v>
      </c>
      <c r="L124" t="s">
        <v>42</v>
      </c>
      <c r="M124">
        <f>H124+I124</f>
        <v>0</v>
      </c>
      <c r="N124">
        <f>IF(M124&gt;0,H124/M124,"")</f>
        <v>0</v>
      </c>
      <c r="O124">
        <f>VALUE(TRIM(MID(L124,FIND(":",L124)+1,FIND(",",L124)-FIND(":",L124)-1)))+VALUE(TRIM(MID(L124,FIND("conditionals:",L124)+13,LEN(L124))))</f>
        <v>0</v>
      </c>
    </row>
    <row r="125" spans="1:15">
      <c r="A125">
        <v>4</v>
      </c>
      <c r="B125" t="s">
        <v>151</v>
      </c>
      <c r="C125">
        <v>0</v>
      </c>
      <c r="D125">
        <v>0.1</v>
      </c>
      <c r="E125">
        <v>10</v>
      </c>
      <c r="F125" t="s">
        <v>156</v>
      </c>
      <c r="G125" t="s">
        <v>116</v>
      </c>
      <c r="H125">
        <v>10</v>
      </c>
      <c r="I125">
        <v>0</v>
      </c>
      <c r="J125">
        <v>0.11</v>
      </c>
      <c r="K125">
        <v>2.03</v>
      </c>
      <c r="L125" t="s">
        <v>60</v>
      </c>
      <c r="M125">
        <f>H125+I125</f>
        <v>0</v>
      </c>
      <c r="N125">
        <f>IF(M125&gt;0,H125/M125,"")</f>
        <v>0</v>
      </c>
      <c r="O125">
        <f>VALUE(TRIM(MID(L125,FIND(":",L125)+1,FIND(",",L125)-FIND(":",L125)-1)))+VALUE(TRIM(MID(L125,FIND("conditionals:",L125)+13,LEN(L125))))</f>
        <v>0</v>
      </c>
    </row>
    <row r="126" spans="1:15">
      <c r="A126">
        <v>5</v>
      </c>
      <c r="B126" t="s">
        <v>151</v>
      </c>
      <c r="C126">
        <v>0</v>
      </c>
      <c r="D126">
        <v>0.1</v>
      </c>
      <c r="E126">
        <v>10</v>
      </c>
      <c r="F126" t="s">
        <v>157</v>
      </c>
      <c r="G126" t="s">
        <v>98</v>
      </c>
      <c r="H126">
        <v>4</v>
      </c>
      <c r="I126">
        <v>0</v>
      </c>
      <c r="J126">
        <v>0.11</v>
      </c>
      <c r="K126">
        <v>2.02</v>
      </c>
      <c r="L126" t="s">
        <v>158</v>
      </c>
      <c r="M126">
        <f>H126+I126</f>
        <v>0</v>
      </c>
      <c r="N126">
        <f>IF(M126&gt;0,H126/M126,"")</f>
        <v>0</v>
      </c>
      <c r="O126">
        <f>VALUE(TRIM(MID(L126,FIND(":",L126)+1,FIND(",",L126)-FIND(":",L126)-1)))+VALUE(TRIM(MID(L126,FIND("conditionals:",L126)+13,LEN(L126))))</f>
        <v>0</v>
      </c>
    </row>
    <row r="127" spans="1:15">
      <c r="A127">
        <v>1</v>
      </c>
      <c r="B127" t="s">
        <v>151</v>
      </c>
      <c r="C127">
        <v>0</v>
      </c>
      <c r="D127">
        <v>0.5</v>
      </c>
      <c r="E127">
        <v>30</v>
      </c>
      <c r="F127" t="s">
        <v>159</v>
      </c>
      <c r="G127" t="s">
        <v>98</v>
      </c>
      <c r="H127">
        <v>4</v>
      </c>
      <c r="I127">
        <v>0</v>
      </c>
      <c r="J127">
        <v>0.11</v>
      </c>
      <c r="K127">
        <v>2.02</v>
      </c>
      <c r="L127" t="s">
        <v>42</v>
      </c>
      <c r="M127">
        <f>H127+I127</f>
        <v>0</v>
      </c>
      <c r="N127">
        <f>IF(M127&gt;0,H127/M127,"")</f>
        <v>0</v>
      </c>
      <c r="O127">
        <f>VALUE(TRIM(MID(L127,FIND(":",L127)+1,FIND(",",L127)-FIND(":",L127)-1)))+VALUE(TRIM(MID(L127,FIND("conditionals:",L127)+13,LEN(L127))))</f>
        <v>0</v>
      </c>
    </row>
    <row r="128" spans="1:15">
      <c r="A128">
        <v>2</v>
      </c>
      <c r="B128" t="s">
        <v>151</v>
      </c>
      <c r="C128">
        <v>0</v>
      </c>
      <c r="D128">
        <v>0.5</v>
      </c>
      <c r="E128">
        <v>30</v>
      </c>
      <c r="F128" t="s">
        <v>160</v>
      </c>
      <c r="G128" t="s">
        <v>105</v>
      </c>
      <c r="H128">
        <v>7</v>
      </c>
      <c r="I128">
        <v>0</v>
      </c>
      <c r="J128">
        <v>0.11</v>
      </c>
      <c r="K128">
        <v>2.03</v>
      </c>
      <c r="L128" t="s">
        <v>154</v>
      </c>
      <c r="M128">
        <f>H128+I128</f>
        <v>0</v>
      </c>
      <c r="N128">
        <f>IF(M128&gt;0,H128/M128,"")</f>
        <v>0</v>
      </c>
      <c r="O128">
        <f>VALUE(TRIM(MID(L128,FIND(":",L128)+1,FIND(",",L128)-FIND(":",L128)-1)))+VALUE(TRIM(MID(L128,FIND("conditionals:",L128)+13,LEN(L128))))</f>
        <v>0</v>
      </c>
    </row>
    <row r="129" spans="1:15">
      <c r="A129">
        <v>3</v>
      </c>
      <c r="B129" t="s">
        <v>151</v>
      </c>
      <c r="C129">
        <v>0</v>
      </c>
      <c r="D129">
        <v>0.5</v>
      </c>
      <c r="E129">
        <v>30</v>
      </c>
      <c r="F129" t="s">
        <v>161</v>
      </c>
      <c r="G129" t="s">
        <v>105</v>
      </c>
      <c r="H129">
        <v>7</v>
      </c>
      <c r="I129">
        <v>0</v>
      </c>
      <c r="J129">
        <v>0.11</v>
      </c>
      <c r="K129">
        <v>2.02</v>
      </c>
      <c r="L129" t="s">
        <v>101</v>
      </c>
      <c r="M129">
        <f>H129+I129</f>
        <v>0</v>
      </c>
      <c r="N129">
        <f>IF(M129&gt;0,H129/M129,"")</f>
        <v>0</v>
      </c>
      <c r="O129">
        <f>VALUE(TRIM(MID(L129,FIND(":",L129)+1,FIND(",",L129)-FIND(":",L129)-1)))+VALUE(TRIM(MID(L129,FIND("conditionals:",L129)+13,LEN(L129))))</f>
        <v>0</v>
      </c>
    </row>
    <row r="130" spans="1:15">
      <c r="A130">
        <v>4</v>
      </c>
      <c r="B130" t="s">
        <v>151</v>
      </c>
      <c r="C130">
        <v>0</v>
      </c>
      <c r="D130">
        <v>0.5</v>
      </c>
      <c r="E130">
        <v>30</v>
      </c>
      <c r="F130" t="s">
        <v>162</v>
      </c>
      <c r="G130" t="s">
        <v>116</v>
      </c>
      <c r="H130">
        <v>10</v>
      </c>
      <c r="I130">
        <v>0</v>
      </c>
      <c r="J130">
        <v>0.11</v>
      </c>
      <c r="K130">
        <v>2.02</v>
      </c>
      <c r="L130" t="s">
        <v>60</v>
      </c>
      <c r="M130">
        <f>H130+I130</f>
        <v>0</v>
      </c>
      <c r="N130">
        <f>IF(M130&gt;0,H130/M130,"")</f>
        <v>0</v>
      </c>
      <c r="O130">
        <f>VALUE(TRIM(MID(L130,FIND(":",L130)+1,FIND(",",L130)-FIND(":",L130)-1)))+VALUE(TRIM(MID(L130,FIND("conditionals:",L130)+13,LEN(L130))))</f>
        <v>0</v>
      </c>
    </row>
    <row r="131" spans="1:15">
      <c r="A131">
        <v>5</v>
      </c>
      <c r="B131" t="s">
        <v>151</v>
      </c>
      <c r="C131">
        <v>0</v>
      </c>
      <c r="D131">
        <v>0.5</v>
      </c>
      <c r="E131">
        <v>30</v>
      </c>
      <c r="F131" t="s">
        <v>163</v>
      </c>
      <c r="G131" t="s">
        <v>98</v>
      </c>
      <c r="H131">
        <v>4</v>
      </c>
      <c r="I131">
        <v>0</v>
      </c>
      <c r="J131">
        <v>0.11</v>
      </c>
      <c r="K131">
        <v>2.04</v>
      </c>
      <c r="L131" t="s">
        <v>158</v>
      </c>
      <c r="M131">
        <f>H131+I131</f>
        <v>0</v>
      </c>
      <c r="N131">
        <f>IF(M131&gt;0,H131/M131,"")</f>
        <v>0</v>
      </c>
      <c r="O131">
        <f>VALUE(TRIM(MID(L131,FIND(":",L131)+1,FIND(",",L131)-FIND(":",L131)-1)))+VALUE(TRIM(MID(L131,FIND("conditionals:",L131)+13,LEN(L131))))</f>
        <v>0</v>
      </c>
    </row>
    <row r="132" spans="1:15">
      <c r="A132">
        <v>1</v>
      </c>
      <c r="B132" t="s">
        <v>151</v>
      </c>
      <c r="C132">
        <v>0</v>
      </c>
      <c r="D132">
        <v>0.95</v>
      </c>
      <c r="E132">
        <v>100</v>
      </c>
      <c r="F132" t="s">
        <v>164</v>
      </c>
      <c r="G132" t="s">
        <v>98</v>
      </c>
      <c r="H132">
        <v>4</v>
      </c>
      <c r="I132">
        <v>0</v>
      </c>
      <c r="J132">
        <v>0.11</v>
      </c>
      <c r="K132">
        <v>2.01</v>
      </c>
      <c r="L132" t="s">
        <v>42</v>
      </c>
      <c r="M132">
        <f>H132+I132</f>
        <v>0</v>
      </c>
      <c r="N132">
        <f>IF(M132&gt;0,H132/M132,"")</f>
        <v>0</v>
      </c>
      <c r="O132">
        <f>VALUE(TRIM(MID(L132,FIND(":",L132)+1,FIND(",",L132)-FIND(":",L132)-1)))+VALUE(TRIM(MID(L132,FIND("conditionals:",L132)+13,LEN(L132))))</f>
        <v>0</v>
      </c>
    </row>
    <row r="133" spans="1:15">
      <c r="A133">
        <v>2</v>
      </c>
      <c r="B133" t="s">
        <v>151</v>
      </c>
      <c r="C133">
        <v>0</v>
      </c>
      <c r="D133">
        <v>0.95</v>
      </c>
      <c r="E133">
        <v>100</v>
      </c>
      <c r="F133" t="s">
        <v>165</v>
      </c>
      <c r="G133" t="s">
        <v>105</v>
      </c>
      <c r="H133">
        <v>7</v>
      </c>
      <c r="I133">
        <v>0</v>
      </c>
      <c r="J133">
        <v>0.11</v>
      </c>
      <c r="K133">
        <v>2.02</v>
      </c>
      <c r="L133" t="s">
        <v>154</v>
      </c>
      <c r="M133">
        <f>H133+I133</f>
        <v>0</v>
      </c>
      <c r="N133">
        <f>IF(M133&gt;0,H133/M133,"")</f>
        <v>0</v>
      </c>
      <c r="O133">
        <f>VALUE(TRIM(MID(L133,FIND(":",L133)+1,FIND(",",L133)-FIND(":",L133)-1)))+VALUE(TRIM(MID(L133,FIND("conditionals:",L133)+13,LEN(L133))))</f>
        <v>0</v>
      </c>
    </row>
    <row r="134" spans="1:15">
      <c r="A134">
        <v>3</v>
      </c>
      <c r="B134" t="s">
        <v>151</v>
      </c>
      <c r="C134">
        <v>0</v>
      </c>
      <c r="D134">
        <v>0.95</v>
      </c>
      <c r="E134">
        <v>100</v>
      </c>
      <c r="F134" t="s">
        <v>166</v>
      </c>
      <c r="G134" t="s">
        <v>17</v>
      </c>
      <c r="H134">
        <v>5</v>
      </c>
      <c r="I134">
        <v>0</v>
      </c>
      <c r="J134">
        <v>0.11</v>
      </c>
      <c r="K134">
        <v>2.01</v>
      </c>
      <c r="L134" t="s">
        <v>101</v>
      </c>
      <c r="M134">
        <f>H134+I134</f>
        <v>0</v>
      </c>
      <c r="N134">
        <f>IF(M134&gt;0,H134/M134,"")</f>
        <v>0</v>
      </c>
      <c r="O134">
        <f>VALUE(TRIM(MID(L134,FIND(":",L134)+1,FIND(",",L134)-FIND(":",L134)-1)))+VALUE(TRIM(MID(L134,FIND("conditionals:",L134)+13,LEN(L134))))</f>
        <v>0</v>
      </c>
    </row>
    <row r="135" spans="1:15">
      <c r="A135">
        <v>4</v>
      </c>
      <c r="B135" t="s">
        <v>151</v>
      </c>
      <c r="C135">
        <v>0</v>
      </c>
      <c r="D135">
        <v>0.95</v>
      </c>
      <c r="E135">
        <v>100</v>
      </c>
      <c r="F135" t="s">
        <v>167</v>
      </c>
      <c r="G135" t="s">
        <v>67</v>
      </c>
      <c r="H135">
        <v>9</v>
      </c>
      <c r="I135">
        <v>0</v>
      </c>
      <c r="J135">
        <v>0.11</v>
      </c>
      <c r="K135">
        <v>2.05</v>
      </c>
      <c r="L135" t="s">
        <v>60</v>
      </c>
      <c r="M135">
        <f>H135+I135</f>
        <v>0</v>
      </c>
      <c r="N135">
        <f>IF(M135&gt;0,H135/M135,"")</f>
        <v>0</v>
      </c>
      <c r="O135">
        <f>VALUE(TRIM(MID(L135,FIND(":",L135)+1,FIND(",",L135)-FIND(":",L135)-1)))+VALUE(TRIM(MID(L135,FIND("conditionals:",L135)+13,LEN(L135))))</f>
        <v>0</v>
      </c>
    </row>
    <row r="136" spans="1:15">
      <c r="A136">
        <v>5</v>
      </c>
      <c r="B136" t="s">
        <v>151</v>
      </c>
      <c r="C136">
        <v>0</v>
      </c>
      <c r="D136">
        <v>0.95</v>
      </c>
      <c r="E136">
        <v>100</v>
      </c>
      <c r="F136" t="s">
        <v>168</v>
      </c>
      <c r="G136" t="s">
        <v>122</v>
      </c>
      <c r="H136">
        <v>3</v>
      </c>
      <c r="I136">
        <v>0</v>
      </c>
      <c r="J136">
        <v>0.11</v>
      </c>
      <c r="K136">
        <v>2.01</v>
      </c>
      <c r="L136" t="s">
        <v>158</v>
      </c>
      <c r="M136">
        <f>H136+I136</f>
        <v>0</v>
      </c>
      <c r="N136">
        <f>IF(M136&gt;0,H136/M136,"")</f>
        <v>0</v>
      </c>
      <c r="O136">
        <f>VALUE(TRIM(MID(L136,FIND(":",L136)+1,FIND(",",L136)-FIND(":",L136)-1)))+VALUE(TRIM(MID(L136,FIND("conditionals:",L136)+13,LEN(L136))))</f>
        <v>0</v>
      </c>
    </row>
    <row r="137" spans="1:15">
      <c r="A137">
        <v>1</v>
      </c>
      <c r="B137" t="s">
        <v>151</v>
      </c>
      <c r="C137">
        <v>0.5</v>
      </c>
      <c r="D137">
        <v>0.1</v>
      </c>
      <c r="E137">
        <v>10</v>
      </c>
      <c r="F137" t="s">
        <v>169</v>
      </c>
      <c r="G137" t="s">
        <v>98</v>
      </c>
      <c r="H137">
        <v>4</v>
      </c>
      <c r="I137">
        <v>0</v>
      </c>
      <c r="J137">
        <v>0.11</v>
      </c>
      <c r="K137">
        <v>2.01</v>
      </c>
      <c r="L137" t="s">
        <v>42</v>
      </c>
      <c r="M137">
        <f>H137+I137</f>
        <v>0</v>
      </c>
      <c r="N137">
        <f>IF(M137&gt;0,H137/M137,"")</f>
        <v>0</v>
      </c>
      <c r="O137">
        <f>VALUE(TRIM(MID(L137,FIND(":",L137)+1,FIND(",",L137)-FIND(":",L137)-1)))+VALUE(TRIM(MID(L137,FIND("conditionals:",L137)+13,LEN(L137))))</f>
        <v>0</v>
      </c>
    </row>
    <row r="138" spans="1:15">
      <c r="A138">
        <v>2</v>
      </c>
      <c r="B138" t="s">
        <v>151</v>
      </c>
      <c r="C138">
        <v>0.5</v>
      </c>
      <c r="D138">
        <v>0.1</v>
      </c>
      <c r="E138">
        <v>10</v>
      </c>
      <c r="F138" t="s">
        <v>170</v>
      </c>
      <c r="G138" t="s">
        <v>105</v>
      </c>
      <c r="H138">
        <v>7</v>
      </c>
      <c r="I138">
        <v>0</v>
      </c>
      <c r="J138">
        <v>0.11</v>
      </c>
      <c r="K138">
        <v>2.02</v>
      </c>
      <c r="L138" t="s">
        <v>154</v>
      </c>
      <c r="M138">
        <f>H138+I138</f>
        <v>0</v>
      </c>
      <c r="N138">
        <f>IF(M138&gt;0,H138/M138,"")</f>
        <v>0</v>
      </c>
      <c r="O138">
        <f>VALUE(TRIM(MID(L138,FIND(":",L138)+1,FIND(",",L138)-FIND(":",L138)-1)))+VALUE(TRIM(MID(L138,FIND("conditionals:",L138)+13,LEN(L138))))</f>
        <v>0</v>
      </c>
    </row>
    <row r="139" spans="1:15">
      <c r="A139">
        <v>3</v>
      </c>
      <c r="B139" t="s">
        <v>151</v>
      </c>
      <c r="C139">
        <v>0.5</v>
      </c>
      <c r="D139">
        <v>0.1</v>
      </c>
      <c r="E139">
        <v>10</v>
      </c>
      <c r="F139" t="s">
        <v>171</v>
      </c>
      <c r="G139" t="s">
        <v>105</v>
      </c>
      <c r="H139">
        <v>7</v>
      </c>
      <c r="I139">
        <v>0</v>
      </c>
      <c r="J139">
        <v>0.11</v>
      </c>
      <c r="K139">
        <v>2.02</v>
      </c>
      <c r="L139" t="s">
        <v>101</v>
      </c>
      <c r="M139">
        <f>H139+I139</f>
        <v>0</v>
      </c>
      <c r="N139">
        <f>IF(M139&gt;0,H139/M139,"")</f>
        <v>0</v>
      </c>
      <c r="O139">
        <f>VALUE(TRIM(MID(L139,FIND(":",L139)+1,FIND(",",L139)-FIND(":",L139)-1)))+VALUE(TRIM(MID(L139,FIND("conditionals:",L139)+13,LEN(L139))))</f>
        <v>0</v>
      </c>
    </row>
    <row r="140" spans="1:15">
      <c r="A140">
        <v>4</v>
      </c>
      <c r="B140" t="s">
        <v>151</v>
      </c>
      <c r="C140">
        <v>0.5</v>
      </c>
      <c r="D140">
        <v>0.1</v>
      </c>
      <c r="E140">
        <v>10</v>
      </c>
      <c r="F140" t="s">
        <v>172</v>
      </c>
      <c r="G140" t="s">
        <v>116</v>
      </c>
      <c r="H140">
        <v>10</v>
      </c>
      <c r="I140">
        <v>0</v>
      </c>
      <c r="J140">
        <v>0.11</v>
      </c>
      <c r="K140">
        <v>2.01</v>
      </c>
      <c r="L140" t="s">
        <v>60</v>
      </c>
      <c r="M140">
        <f>H140+I140</f>
        <v>0</v>
      </c>
      <c r="N140">
        <f>IF(M140&gt;0,H140/M140,"")</f>
        <v>0</v>
      </c>
      <c r="O140">
        <f>VALUE(TRIM(MID(L140,FIND(":",L140)+1,FIND(",",L140)-FIND(":",L140)-1)))+VALUE(TRIM(MID(L140,FIND("conditionals:",L140)+13,LEN(L140))))</f>
        <v>0</v>
      </c>
    </row>
    <row r="141" spans="1:15">
      <c r="A141">
        <v>5</v>
      </c>
      <c r="B141" t="s">
        <v>151</v>
      </c>
      <c r="C141">
        <v>0.5</v>
      </c>
      <c r="D141">
        <v>0.1</v>
      </c>
      <c r="E141">
        <v>10</v>
      </c>
      <c r="F141" t="s">
        <v>173</v>
      </c>
      <c r="G141" t="s">
        <v>98</v>
      </c>
      <c r="H141">
        <v>4</v>
      </c>
      <c r="I141">
        <v>0</v>
      </c>
      <c r="J141">
        <v>0.11</v>
      </c>
      <c r="K141">
        <v>2.05</v>
      </c>
      <c r="L141" t="s">
        <v>158</v>
      </c>
      <c r="M141">
        <f>H141+I141</f>
        <v>0</v>
      </c>
      <c r="N141">
        <f>IF(M141&gt;0,H141/M141,"")</f>
        <v>0</v>
      </c>
      <c r="O141">
        <f>VALUE(TRIM(MID(L141,FIND(":",L141)+1,FIND(",",L141)-FIND(":",L141)-1)))+VALUE(TRIM(MID(L141,FIND("conditionals:",L141)+13,LEN(L141))))</f>
        <v>0</v>
      </c>
    </row>
    <row r="142" spans="1:15">
      <c r="A142">
        <v>1</v>
      </c>
      <c r="B142" t="s">
        <v>151</v>
      </c>
      <c r="C142">
        <v>0.5</v>
      </c>
      <c r="D142">
        <v>0.5</v>
      </c>
      <c r="E142">
        <v>30</v>
      </c>
      <c r="F142" t="s">
        <v>174</v>
      </c>
      <c r="G142" t="s">
        <v>175</v>
      </c>
      <c r="H142">
        <v>4</v>
      </c>
      <c r="I142">
        <v>0</v>
      </c>
      <c r="J142">
        <v>0.11</v>
      </c>
      <c r="K142">
        <v>2.02</v>
      </c>
      <c r="L142" t="s">
        <v>42</v>
      </c>
      <c r="M142">
        <f>H142+I142</f>
        <v>0</v>
      </c>
      <c r="N142">
        <f>IF(M142&gt;0,H142/M142,"")</f>
        <v>0</v>
      </c>
      <c r="O142">
        <f>VALUE(TRIM(MID(L142,FIND(":",L142)+1,FIND(",",L142)-FIND(":",L142)-1)))+VALUE(TRIM(MID(L142,FIND("conditionals:",L142)+13,LEN(L142))))</f>
        <v>0</v>
      </c>
    </row>
    <row r="143" spans="1:15">
      <c r="A143">
        <v>2</v>
      </c>
      <c r="B143" t="s">
        <v>151</v>
      </c>
      <c r="C143">
        <v>0.5</v>
      </c>
      <c r="D143">
        <v>0.5</v>
      </c>
      <c r="E143">
        <v>30</v>
      </c>
      <c r="F143" t="s">
        <v>176</v>
      </c>
      <c r="G143" t="s">
        <v>177</v>
      </c>
      <c r="H143">
        <v>7</v>
      </c>
      <c r="I143">
        <v>0</v>
      </c>
      <c r="J143">
        <v>0.11</v>
      </c>
      <c r="K143">
        <v>2.05</v>
      </c>
      <c r="L143" t="s">
        <v>154</v>
      </c>
      <c r="M143">
        <f>H143+I143</f>
        <v>0</v>
      </c>
      <c r="N143">
        <f>IF(M143&gt;0,H143/M143,"")</f>
        <v>0</v>
      </c>
      <c r="O143">
        <f>VALUE(TRIM(MID(L143,FIND(":",L143)+1,FIND(",",L143)-FIND(":",L143)-1)))+VALUE(TRIM(MID(L143,FIND("conditionals:",L143)+13,LEN(L143))))</f>
        <v>0</v>
      </c>
    </row>
    <row r="144" spans="1:15">
      <c r="A144">
        <v>3</v>
      </c>
      <c r="B144" t="s">
        <v>151</v>
      </c>
      <c r="C144">
        <v>0.5</v>
      </c>
      <c r="D144">
        <v>0.5</v>
      </c>
      <c r="E144">
        <v>30</v>
      </c>
      <c r="F144" t="s">
        <v>178</v>
      </c>
      <c r="G144" t="s">
        <v>179</v>
      </c>
      <c r="H144">
        <v>5</v>
      </c>
      <c r="I144">
        <v>0</v>
      </c>
      <c r="J144">
        <v>0.11</v>
      </c>
      <c r="K144">
        <v>2.01</v>
      </c>
      <c r="L144" t="s">
        <v>101</v>
      </c>
      <c r="M144">
        <f>H144+I144</f>
        <v>0</v>
      </c>
      <c r="N144">
        <f>IF(M144&gt;0,H144/M144,"")</f>
        <v>0</v>
      </c>
      <c r="O144">
        <f>VALUE(TRIM(MID(L144,FIND(":",L144)+1,FIND(",",L144)-FIND(":",L144)-1)))+VALUE(TRIM(MID(L144,FIND("conditionals:",L144)+13,LEN(L144))))</f>
        <v>0</v>
      </c>
    </row>
    <row r="145" spans="1:15">
      <c r="A145">
        <v>4</v>
      </c>
      <c r="B145" t="s">
        <v>151</v>
      </c>
      <c r="C145">
        <v>0.5</v>
      </c>
      <c r="D145">
        <v>0.5</v>
      </c>
      <c r="E145">
        <v>30</v>
      </c>
      <c r="F145" t="s">
        <v>180</v>
      </c>
      <c r="G145" t="s">
        <v>181</v>
      </c>
      <c r="H145">
        <v>9</v>
      </c>
      <c r="I145">
        <v>0</v>
      </c>
      <c r="J145">
        <v>0.11</v>
      </c>
      <c r="K145">
        <v>2.02</v>
      </c>
      <c r="L145" t="s">
        <v>60</v>
      </c>
      <c r="M145">
        <f>H145+I145</f>
        <v>0</v>
      </c>
      <c r="N145">
        <f>IF(M145&gt;0,H145/M145,"")</f>
        <v>0</v>
      </c>
      <c r="O145">
        <f>VALUE(TRIM(MID(L145,FIND(":",L145)+1,FIND(",",L145)-FIND(":",L145)-1)))+VALUE(TRIM(MID(L145,FIND("conditionals:",L145)+13,LEN(L145))))</f>
        <v>0</v>
      </c>
    </row>
    <row r="146" spans="1:15">
      <c r="A146">
        <v>5</v>
      </c>
      <c r="B146" t="s">
        <v>151</v>
      </c>
      <c r="C146">
        <v>0.5</v>
      </c>
      <c r="D146">
        <v>0.5</v>
      </c>
      <c r="E146">
        <v>30</v>
      </c>
      <c r="F146" t="s">
        <v>182</v>
      </c>
      <c r="G146" t="s">
        <v>183</v>
      </c>
      <c r="H146">
        <v>3</v>
      </c>
      <c r="I146">
        <v>0</v>
      </c>
      <c r="J146">
        <v>0.11</v>
      </c>
      <c r="K146">
        <v>2.01</v>
      </c>
      <c r="L146" t="s">
        <v>158</v>
      </c>
      <c r="M146">
        <f>H146+I146</f>
        <v>0</v>
      </c>
      <c r="N146">
        <f>IF(M146&gt;0,H146/M146,"")</f>
        <v>0</v>
      </c>
      <c r="O146">
        <f>VALUE(TRIM(MID(L146,FIND(":",L146)+1,FIND(",",L146)-FIND(":",L146)-1)))+VALUE(TRIM(MID(L146,FIND("conditionals:",L146)+13,LEN(L146))))</f>
        <v>0</v>
      </c>
    </row>
    <row r="147" spans="1:15">
      <c r="A147">
        <v>1</v>
      </c>
      <c r="B147" t="s">
        <v>151</v>
      </c>
      <c r="C147">
        <v>0.5</v>
      </c>
      <c r="D147">
        <v>0.95</v>
      </c>
      <c r="E147">
        <v>100</v>
      </c>
      <c r="F147" t="s">
        <v>184</v>
      </c>
      <c r="G147" t="s">
        <v>185</v>
      </c>
      <c r="H147">
        <v>4</v>
      </c>
      <c r="I147">
        <v>0</v>
      </c>
      <c r="J147">
        <v>0.11</v>
      </c>
      <c r="K147">
        <v>2.03</v>
      </c>
      <c r="L147" t="s">
        <v>18</v>
      </c>
      <c r="M147">
        <f>H147+I147</f>
        <v>0</v>
      </c>
      <c r="N147">
        <f>IF(M147&gt;0,H147/M147,"")</f>
        <v>0</v>
      </c>
      <c r="O147">
        <f>VALUE(TRIM(MID(L147,FIND(":",L147)+1,FIND(",",L147)-FIND(":",L147)-1)))+VALUE(TRIM(MID(L147,FIND("conditionals:",L147)+13,LEN(L147))))</f>
        <v>0</v>
      </c>
    </row>
    <row r="148" spans="1:15">
      <c r="A148">
        <v>2</v>
      </c>
      <c r="B148" t="s">
        <v>151</v>
      </c>
      <c r="C148">
        <v>0.5</v>
      </c>
      <c r="D148">
        <v>0.95</v>
      </c>
      <c r="E148">
        <v>100</v>
      </c>
      <c r="F148" t="s">
        <v>186</v>
      </c>
      <c r="G148" t="s">
        <v>187</v>
      </c>
      <c r="H148">
        <v>7</v>
      </c>
      <c r="I148">
        <v>0</v>
      </c>
      <c r="J148">
        <v>0.11</v>
      </c>
      <c r="K148">
        <v>2.01</v>
      </c>
      <c r="L148" t="s">
        <v>45</v>
      </c>
      <c r="M148">
        <f>H148+I148</f>
        <v>0</v>
      </c>
      <c r="N148">
        <f>IF(M148&gt;0,H148/M148,"")</f>
        <v>0</v>
      </c>
      <c r="O148">
        <f>VALUE(TRIM(MID(L148,FIND(":",L148)+1,FIND(",",L148)-FIND(":",L148)-1)))+VALUE(TRIM(MID(L148,FIND("conditionals:",L148)+13,LEN(L148))))</f>
        <v>0</v>
      </c>
    </row>
    <row r="149" spans="1:15">
      <c r="A149">
        <v>3</v>
      </c>
      <c r="B149" t="s">
        <v>151</v>
      </c>
      <c r="C149">
        <v>0.5</v>
      </c>
      <c r="D149">
        <v>0.95</v>
      </c>
      <c r="E149">
        <v>100</v>
      </c>
      <c r="F149" t="s">
        <v>188</v>
      </c>
      <c r="G149" t="s">
        <v>189</v>
      </c>
      <c r="H149">
        <v>5</v>
      </c>
      <c r="I149">
        <v>0</v>
      </c>
      <c r="J149">
        <v>0.11</v>
      </c>
      <c r="K149">
        <v>2.02</v>
      </c>
      <c r="L149" t="s">
        <v>48</v>
      </c>
      <c r="M149">
        <f>H149+I149</f>
        <v>0</v>
      </c>
      <c r="N149">
        <f>IF(M149&gt;0,H149/M149,"")</f>
        <v>0</v>
      </c>
      <c r="O149">
        <f>VALUE(TRIM(MID(L149,FIND(":",L149)+1,FIND(",",L149)-FIND(":",L149)-1)))+VALUE(TRIM(MID(L149,FIND("conditionals:",L149)+13,LEN(L149))))</f>
        <v>0</v>
      </c>
    </row>
    <row r="150" spans="1:15">
      <c r="A150">
        <v>4</v>
      </c>
      <c r="B150" t="s">
        <v>151</v>
      </c>
      <c r="C150">
        <v>0.5</v>
      </c>
      <c r="D150">
        <v>0.95</v>
      </c>
      <c r="E150">
        <v>100</v>
      </c>
      <c r="F150" t="s">
        <v>190</v>
      </c>
      <c r="G150" t="s">
        <v>191</v>
      </c>
      <c r="H150">
        <v>8</v>
      </c>
      <c r="I150">
        <v>0</v>
      </c>
      <c r="J150">
        <v>0.11</v>
      </c>
      <c r="K150">
        <v>2.02</v>
      </c>
      <c r="L150" t="s">
        <v>27</v>
      </c>
      <c r="M150">
        <f>H150+I150</f>
        <v>0</v>
      </c>
      <c r="N150">
        <f>IF(M150&gt;0,H150/M150,"")</f>
        <v>0</v>
      </c>
      <c r="O150">
        <f>VALUE(TRIM(MID(L150,FIND(":",L150)+1,FIND(",",L150)-FIND(":",L150)-1)))+VALUE(TRIM(MID(L150,FIND("conditionals:",L150)+13,LEN(L150))))</f>
        <v>0</v>
      </c>
    </row>
    <row r="151" spans="1:15">
      <c r="A151">
        <v>5</v>
      </c>
      <c r="B151" t="s">
        <v>151</v>
      </c>
      <c r="C151">
        <v>0.5</v>
      </c>
      <c r="D151">
        <v>0.95</v>
      </c>
      <c r="E151">
        <v>100</v>
      </c>
      <c r="F151" t="s">
        <v>192</v>
      </c>
      <c r="G151" t="s">
        <v>193</v>
      </c>
      <c r="H151">
        <v>3</v>
      </c>
      <c r="I151">
        <v>0</v>
      </c>
      <c r="J151">
        <v>0.11</v>
      </c>
      <c r="K151">
        <v>2</v>
      </c>
      <c r="L151" t="s">
        <v>30</v>
      </c>
      <c r="M151">
        <f>H151+I151</f>
        <v>0</v>
      </c>
      <c r="N151">
        <f>IF(M151&gt;0,H151/M151,"")</f>
        <v>0</v>
      </c>
      <c r="O151">
        <f>VALUE(TRIM(MID(L151,FIND(":",L151)+1,FIND(",",L151)-FIND(":",L151)-1)))+VALUE(TRIM(MID(L151,FIND("conditionals:",L151)+13,LEN(L151))))</f>
        <v>0</v>
      </c>
    </row>
    <row r="152" spans="1:15">
      <c r="A152">
        <v>1</v>
      </c>
      <c r="B152" t="s">
        <v>151</v>
      </c>
      <c r="C152">
        <v>1</v>
      </c>
      <c r="D152">
        <v>0.1</v>
      </c>
      <c r="E152">
        <v>10</v>
      </c>
      <c r="F152" t="s">
        <v>194</v>
      </c>
      <c r="G152" t="s">
        <v>98</v>
      </c>
      <c r="H152">
        <v>4</v>
      </c>
      <c r="I152">
        <v>0</v>
      </c>
      <c r="J152">
        <v>0.11</v>
      </c>
      <c r="K152">
        <v>2.02</v>
      </c>
      <c r="L152" t="s">
        <v>42</v>
      </c>
      <c r="M152">
        <f>H152+I152</f>
        <v>0</v>
      </c>
      <c r="N152">
        <f>IF(M152&gt;0,H152/M152,"")</f>
        <v>0</v>
      </c>
      <c r="O152">
        <f>VALUE(TRIM(MID(L152,FIND(":",L152)+1,FIND(",",L152)-FIND(":",L152)-1)))+VALUE(TRIM(MID(L152,FIND("conditionals:",L152)+13,LEN(L152))))</f>
        <v>0</v>
      </c>
    </row>
    <row r="153" spans="1:15">
      <c r="A153">
        <v>2</v>
      </c>
      <c r="B153" t="s">
        <v>151</v>
      </c>
      <c r="C153">
        <v>1</v>
      </c>
      <c r="D153">
        <v>0.1</v>
      </c>
      <c r="E153">
        <v>10</v>
      </c>
      <c r="F153" t="s">
        <v>160</v>
      </c>
      <c r="G153" t="s">
        <v>105</v>
      </c>
      <c r="H153">
        <v>7</v>
      </c>
      <c r="I153">
        <v>0</v>
      </c>
      <c r="J153">
        <v>0.11</v>
      </c>
      <c r="K153">
        <v>2.02</v>
      </c>
      <c r="L153" t="s">
        <v>154</v>
      </c>
      <c r="M153">
        <f>H153+I153</f>
        <v>0</v>
      </c>
      <c r="N153">
        <f>IF(M153&gt;0,H153/M153,"")</f>
        <v>0</v>
      </c>
      <c r="O153">
        <f>VALUE(TRIM(MID(L153,FIND(":",L153)+1,FIND(",",L153)-FIND(":",L153)-1)))+VALUE(TRIM(MID(L153,FIND("conditionals:",L153)+13,LEN(L153))))</f>
        <v>0</v>
      </c>
    </row>
    <row r="154" spans="1:15">
      <c r="A154">
        <v>3</v>
      </c>
      <c r="B154" t="s">
        <v>151</v>
      </c>
      <c r="C154">
        <v>1</v>
      </c>
      <c r="D154">
        <v>0.1</v>
      </c>
      <c r="E154">
        <v>10</v>
      </c>
      <c r="F154" t="s">
        <v>195</v>
      </c>
      <c r="G154" t="s">
        <v>105</v>
      </c>
      <c r="H154">
        <v>7</v>
      </c>
      <c r="I154">
        <v>0</v>
      </c>
      <c r="J154">
        <v>0.11</v>
      </c>
      <c r="K154">
        <v>2.02</v>
      </c>
      <c r="L154" t="s">
        <v>101</v>
      </c>
      <c r="M154">
        <f>H154+I154</f>
        <v>0</v>
      </c>
      <c r="N154">
        <f>IF(M154&gt;0,H154/M154,"")</f>
        <v>0</v>
      </c>
      <c r="O154">
        <f>VALUE(TRIM(MID(L154,FIND(":",L154)+1,FIND(",",L154)-FIND(":",L154)-1)))+VALUE(TRIM(MID(L154,FIND("conditionals:",L154)+13,LEN(L154))))</f>
        <v>0</v>
      </c>
    </row>
    <row r="155" spans="1:15">
      <c r="A155">
        <v>4</v>
      </c>
      <c r="B155" t="s">
        <v>151</v>
      </c>
      <c r="C155">
        <v>1</v>
      </c>
      <c r="D155">
        <v>0.1</v>
      </c>
      <c r="E155">
        <v>10</v>
      </c>
      <c r="F155" t="s">
        <v>196</v>
      </c>
      <c r="G155" t="s">
        <v>116</v>
      </c>
      <c r="H155">
        <v>10</v>
      </c>
      <c r="I155">
        <v>0</v>
      </c>
      <c r="J155">
        <v>0.11</v>
      </c>
      <c r="K155">
        <v>2.02</v>
      </c>
      <c r="L155" t="s">
        <v>60</v>
      </c>
      <c r="M155">
        <f>H155+I155</f>
        <v>0</v>
      </c>
      <c r="N155">
        <f>IF(M155&gt;0,H155/M155,"")</f>
        <v>0</v>
      </c>
      <c r="O155">
        <f>VALUE(TRIM(MID(L155,FIND(":",L155)+1,FIND(",",L155)-FIND(":",L155)-1)))+VALUE(TRIM(MID(L155,FIND("conditionals:",L155)+13,LEN(L155))))</f>
        <v>0</v>
      </c>
    </row>
    <row r="156" spans="1:15">
      <c r="A156">
        <v>5</v>
      </c>
      <c r="B156" t="s">
        <v>151</v>
      </c>
      <c r="C156">
        <v>1</v>
      </c>
      <c r="D156">
        <v>0.1</v>
      </c>
      <c r="E156">
        <v>10</v>
      </c>
      <c r="F156" t="s">
        <v>197</v>
      </c>
      <c r="G156" t="s">
        <v>98</v>
      </c>
      <c r="H156">
        <v>4</v>
      </c>
      <c r="I156">
        <v>0</v>
      </c>
      <c r="J156">
        <v>0.11</v>
      </c>
      <c r="K156">
        <v>2.01</v>
      </c>
      <c r="L156" t="s">
        <v>158</v>
      </c>
      <c r="M156">
        <f>H156+I156</f>
        <v>0</v>
      </c>
      <c r="N156">
        <f>IF(M156&gt;0,H156/M156,"")</f>
        <v>0</v>
      </c>
      <c r="O156">
        <f>VALUE(TRIM(MID(L156,FIND(":",L156)+1,FIND(",",L156)-FIND(":",L156)-1)))+VALUE(TRIM(MID(L156,FIND("conditionals:",L156)+13,LEN(L156))))</f>
        <v>0</v>
      </c>
    </row>
    <row r="157" spans="1:15">
      <c r="A157">
        <v>1</v>
      </c>
      <c r="B157" t="s">
        <v>151</v>
      </c>
      <c r="C157">
        <v>1</v>
      </c>
      <c r="D157">
        <v>0.5</v>
      </c>
      <c r="E157">
        <v>30</v>
      </c>
      <c r="F157" t="s">
        <v>198</v>
      </c>
      <c r="G157" t="s">
        <v>98</v>
      </c>
      <c r="H157">
        <v>4</v>
      </c>
      <c r="I157">
        <v>0</v>
      </c>
      <c r="J157">
        <v>0.11</v>
      </c>
      <c r="K157">
        <v>2.03</v>
      </c>
      <c r="L157" t="s">
        <v>18</v>
      </c>
      <c r="M157">
        <f>H157+I157</f>
        <v>0</v>
      </c>
      <c r="N157">
        <f>IF(M157&gt;0,H157/M157,"")</f>
        <v>0</v>
      </c>
      <c r="O157">
        <f>VALUE(TRIM(MID(L157,FIND(":",L157)+1,FIND(",",L157)-FIND(":",L157)-1)))+VALUE(TRIM(MID(L157,FIND("conditionals:",L157)+13,LEN(L157))))</f>
        <v>0</v>
      </c>
    </row>
    <row r="158" spans="1:15">
      <c r="A158">
        <v>2</v>
      </c>
      <c r="B158" t="s">
        <v>151</v>
      </c>
      <c r="C158">
        <v>1</v>
      </c>
      <c r="D158">
        <v>0.5</v>
      </c>
      <c r="E158">
        <v>30</v>
      </c>
      <c r="F158" t="s">
        <v>199</v>
      </c>
      <c r="G158" t="s">
        <v>105</v>
      </c>
      <c r="H158">
        <v>7</v>
      </c>
      <c r="I158">
        <v>0</v>
      </c>
      <c r="J158">
        <v>0.11</v>
      </c>
      <c r="K158">
        <v>2.03</v>
      </c>
      <c r="L158" t="s">
        <v>45</v>
      </c>
      <c r="M158">
        <f>H158+I158</f>
        <v>0</v>
      </c>
      <c r="N158">
        <f>IF(M158&gt;0,H158/M158,"")</f>
        <v>0</v>
      </c>
      <c r="O158">
        <f>VALUE(TRIM(MID(L158,FIND(":",L158)+1,FIND(",",L158)-FIND(":",L158)-1)))+VALUE(TRIM(MID(L158,FIND("conditionals:",L158)+13,LEN(L158))))</f>
        <v>0</v>
      </c>
    </row>
    <row r="159" spans="1:15">
      <c r="A159">
        <v>3</v>
      </c>
      <c r="B159" t="s">
        <v>151</v>
      </c>
      <c r="C159">
        <v>1</v>
      </c>
      <c r="D159">
        <v>0.5</v>
      </c>
      <c r="E159">
        <v>30</v>
      </c>
      <c r="F159" t="s">
        <v>200</v>
      </c>
      <c r="G159" t="s">
        <v>17</v>
      </c>
      <c r="H159">
        <v>5</v>
      </c>
      <c r="I159">
        <v>0</v>
      </c>
      <c r="J159">
        <v>0.11</v>
      </c>
      <c r="K159">
        <v>2.03</v>
      </c>
      <c r="L159" t="s">
        <v>18</v>
      </c>
      <c r="M159">
        <f>H159+I159</f>
        <v>0</v>
      </c>
      <c r="N159">
        <f>IF(M159&gt;0,H159/M159,"")</f>
        <v>0</v>
      </c>
      <c r="O159">
        <f>VALUE(TRIM(MID(L159,FIND(":",L159)+1,FIND(",",L159)-FIND(":",L159)-1)))+VALUE(TRIM(MID(L159,FIND("conditionals:",L159)+13,LEN(L159))))</f>
        <v>0</v>
      </c>
    </row>
    <row r="160" spans="1:15">
      <c r="A160">
        <v>4</v>
      </c>
      <c r="B160" t="s">
        <v>151</v>
      </c>
      <c r="C160">
        <v>1</v>
      </c>
      <c r="D160">
        <v>0.5</v>
      </c>
      <c r="E160">
        <v>30</v>
      </c>
      <c r="F160" t="s">
        <v>201</v>
      </c>
      <c r="G160" t="s">
        <v>67</v>
      </c>
      <c r="H160">
        <v>9</v>
      </c>
      <c r="I160">
        <v>0</v>
      </c>
      <c r="J160">
        <v>0.11</v>
      </c>
      <c r="K160">
        <v>2.01</v>
      </c>
      <c r="L160" t="s">
        <v>27</v>
      </c>
      <c r="M160">
        <f>H160+I160</f>
        <v>0</v>
      </c>
      <c r="N160">
        <f>IF(M160&gt;0,H160/M160,"")</f>
        <v>0</v>
      </c>
      <c r="O160">
        <f>VALUE(TRIM(MID(L160,FIND(":",L160)+1,FIND(",",L160)-FIND(":",L160)-1)))+VALUE(TRIM(MID(L160,FIND("conditionals:",L160)+13,LEN(L160))))</f>
        <v>0</v>
      </c>
    </row>
    <row r="161" spans="1:15">
      <c r="A161">
        <v>5</v>
      </c>
      <c r="B161" t="s">
        <v>151</v>
      </c>
      <c r="C161">
        <v>1</v>
      </c>
      <c r="D161">
        <v>0.5</v>
      </c>
      <c r="E161">
        <v>30</v>
      </c>
      <c r="F161" t="s">
        <v>202</v>
      </c>
      <c r="G161" t="s">
        <v>98</v>
      </c>
      <c r="H161">
        <v>4</v>
      </c>
      <c r="I161">
        <v>0</v>
      </c>
      <c r="J161">
        <v>0.11</v>
      </c>
      <c r="K161">
        <v>2.02</v>
      </c>
      <c r="L161" t="s">
        <v>30</v>
      </c>
      <c r="M161">
        <f>H161+I161</f>
        <v>0</v>
      </c>
      <c r="N161">
        <f>IF(M161&gt;0,H161/M161,"")</f>
        <v>0</v>
      </c>
      <c r="O161">
        <f>VALUE(TRIM(MID(L161,FIND(":",L161)+1,FIND(",",L161)-FIND(":",L161)-1)))+VALUE(TRIM(MID(L161,FIND("conditionals:",L161)+13,LEN(L161))))</f>
        <v>0</v>
      </c>
    </row>
    <row r="162" spans="1:15">
      <c r="A162">
        <v>1</v>
      </c>
      <c r="B162" t="s">
        <v>151</v>
      </c>
      <c r="C162">
        <v>1</v>
      </c>
      <c r="D162">
        <v>0.95</v>
      </c>
      <c r="E162">
        <v>100</v>
      </c>
      <c r="F162" t="s">
        <v>203</v>
      </c>
      <c r="G162" t="s">
        <v>98</v>
      </c>
      <c r="H162">
        <v>4</v>
      </c>
      <c r="I162">
        <v>0</v>
      </c>
      <c r="J162">
        <v>0.11</v>
      </c>
      <c r="K162">
        <v>2.04</v>
      </c>
      <c r="L162" t="s">
        <v>18</v>
      </c>
      <c r="M162">
        <f>H162+I162</f>
        <v>0</v>
      </c>
      <c r="N162">
        <f>IF(M162&gt;0,H162/M162,"")</f>
        <v>0</v>
      </c>
      <c r="O162">
        <f>VALUE(TRIM(MID(L162,FIND(":",L162)+1,FIND(",",L162)-FIND(":",L162)-1)))+VALUE(TRIM(MID(L162,FIND("conditionals:",L162)+13,LEN(L162))))</f>
        <v>0</v>
      </c>
    </row>
    <row r="163" spans="1:15">
      <c r="A163">
        <v>2</v>
      </c>
      <c r="B163" t="s">
        <v>151</v>
      </c>
      <c r="C163">
        <v>1</v>
      </c>
      <c r="D163">
        <v>0.95</v>
      </c>
      <c r="E163">
        <v>100</v>
      </c>
      <c r="F163" t="s">
        <v>204</v>
      </c>
      <c r="G163" t="s">
        <v>105</v>
      </c>
      <c r="H163">
        <v>7</v>
      </c>
      <c r="I163">
        <v>0</v>
      </c>
      <c r="J163">
        <v>0.11</v>
      </c>
      <c r="K163">
        <v>2.04</v>
      </c>
      <c r="L163" t="s">
        <v>45</v>
      </c>
      <c r="M163">
        <f>H163+I163</f>
        <v>0</v>
      </c>
      <c r="N163">
        <f>IF(M163&gt;0,H163/M163,"")</f>
        <v>0</v>
      </c>
      <c r="O163">
        <f>VALUE(TRIM(MID(L163,FIND(":",L163)+1,FIND(",",L163)-FIND(":",L163)-1)))+VALUE(TRIM(MID(L163,FIND("conditionals:",L163)+13,LEN(L163))))</f>
        <v>0</v>
      </c>
    </row>
    <row r="164" spans="1:15">
      <c r="A164">
        <v>3</v>
      </c>
      <c r="B164" t="s">
        <v>151</v>
      </c>
      <c r="C164">
        <v>1</v>
      </c>
      <c r="D164">
        <v>0.95</v>
      </c>
      <c r="E164">
        <v>100</v>
      </c>
      <c r="F164" t="s">
        <v>205</v>
      </c>
      <c r="G164" t="s">
        <v>29</v>
      </c>
      <c r="H164">
        <v>6</v>
      </c>
      <c r="I164">
        <v>0</v>
      </c>
      <c r="J164">
        <v>0.11</v>
      </c>
      <c r="K164">
        <v>2.02</v>
      </c>
      <c r="L164" t="s">
        <v>48</v>
      </c>
      <c r="M164">
        <f>H164+I164</f>
        <v>0</v>
      </c>
      <c r="N164">
        <f>IF(M164&gt;0,H164/M164,"")</f>
        <v>0</v>
      </c>
      <c r="O164">
        <f>VALUE(TRIM(MID(L164,FIND(":",L164)+1,FIND(",",L164)-FIND(":",L164)-1)))+VALUE(TRIM(MID(L164,FIND("conditionals:",L164)+13,LEN(L164))))</f>
        <v>0</v>
      </c>
    </row>
    <row r="165" spans="1:15">
      <c r="A165">
        <v>4</v>
      </c>
      <c r="B165" t="s">
        <v>151</v>
      </c>
      <c r="C165">
        <v>1</v>
      </c>
      <c r="D165">
        <v>0.95</v>
      </c>
      <c r="E165">
        <v>100</v>
      </c>
      <c r="F165" t="s">
        <v>206</v>
      </c>
      <c r="G165" t="s">
        <v>67</v>
      </c>
      <c r="H165">
        <v>9</v>
      </c>
      <c r="I165">
        <v>0</v>
      </c>
      <c r="J165">
        <v>0.12</v>
      </c>
      <c r="K165">
        <v>2.02</v>
      </c>
      <c r="L165" t="s">
        <v>27</v>
      </c>
      <c r="M165">
        <f>H165+I165</f>
        <v>0</v>
      </c>
      <c r="N165">
        <f>IF(M165&gt;0,H165/M165,"")</f>
        <v>0</v>
      </c>
      <c r="O165">
        <f>VALUE(TRIM(MID(L165,FIND(":",L165)+1,FIND(",",L165)-FIND(":",L165)-1)))+VALUE(TRIM(MID(L165,FIND("conditionals:",L165)+13,LEN(L165))))</f>
        <v>0</v>
      </c>
    </row>
    <row r="166" spans="1:15">
      <c r="A166">
        <v>5</v>
      </c>
      <c r="B166" t="s">
        <v>151</v>
      </c>
      <c r="C166">
        <v>1</v>
      </c>
      <c r="D166">
        <v>0.95</v>
      </c>
      <c r="E166">
        <v>100</v>
      </c>
      <c r="F166" t="s">
        <v>207</v>
      </c>
      <c r="G166" t="s">
        <v>98</v>
      </c>
      <c r="H166">
        <v>4</v>
      </c>
      <c r="I166">
        <v>0</v>
      </c>
      <c r="J166">
        <v>0.11</v>
      </c>
      <c r="K166">
        <v>2.04</v>
      </c>
      <c r="L166" t="s">
        <v>208</v>
      </c>
      <c r="M166">
        <f>H166+I166</f>
        <v>0</v>
      </c>
      <c r="N166">
        <f>IF(M166&gt;0,H166/M166,"")</f>
        <v>0</v>
      </c>
      <c r="O166">
        <f>VALUE(TRIM(MID(L166,FIND(":",L166)+1,FIND(",",L166)-FIND(":",L166)-1)))+VALUE(TRIM(MID(L166,FIND("conditionals:",L166)+13,LEN(L166))))</f>
        <v>0</v>
      </c>
    </row>
    <row r="167" spans="1:15">
      <c r="A167">
        <v>1</v>
      </c>
      <c r="B167" t="s">
        <v>151</v>
      </c>
      <c r="C167">
        <v>2</v>
      </c>
      <c r="D167">
        <v>0.1</v>
      </c>
      <c r="E167">
        <v>10</v>
      </c>
      <c r="F167" t="s">
        <v>209</v>
      </c>
      <c r="G167" t="s">
        <v>98</v>
      </c>
      <c r="H167">
        <v>4</v>
      </c>
      <c r="I167">
        <v>0</v>
      </c>
      <c r="J167">
        <v>0.11</v>
      </c>
      <c r="K167">
        <v>2.03</v>
      </c>
      <c r="L167" t="s">
        <v>42</v>
      </c>
      <c r="M167">
        <f>H167+I167</f>
        <v>0</v>
      </c>
      <c r="N167">
        <f>IF(M167&gt;0,H167/M167,"")</f>
        <v>0</v>
      </c>
      <c r="O167">
        <f>VALUE(TRIM(MID(L167,FIND(":",L167)+1,FIND(",",L167)-FIND(":",L167)-1)))+VALUE(TRIM(MID(L167,FIND("conditionals:",L167)+13,LEN(L167))))</f>
        <v>0</v>
      </c>
    </row>
    <row r="168" spans="1:15">
      <c r="A168">
        <v>2</v>
      </c>
      <c r="B168" t="s">
        <v>151</v>
      </c>
      <c r="C168">
        <v>2</v>
      </c>
      <c r="D168">
        <v>0.1</v>
      </c>
      <c r="E168">
        <v>10</v>
      </c>
      <c r="F168" t="s">
        <v>210</v>
      </c>
      <c r="G168" t="s">
        <v>105</v>
      </c>
      <c r="H168">
        <v>7</v>
      </c>
      <c r="I168">
        <v>0</v>
      </c>
      <c r="J168">
        <v>0.11</v>
      </c>
      <c r="K168">
        <v>2.05</v>
      </c>
      <c r="L168" t="s">
        <v>154</v>
      </c>
      <c r="M168">
        <f>H168+I168</f>
        <v>0</v>
      </c>
      <c r="N168">
        <f>IF(M168&gt;0,H168/M168,"")</f>
        <v>0</v>
      </c>
      <c r="O168">
        <f>VALUE(TRIM(MID(L168,FIND(":",L168)+1,FIND(",",L168)-FIND(":",L168)-1)))+VALUE(TRIM(MID(L168,FIND("conditionals:",L168)+13,LEN(L168))))</f>
        <v>0</v>
      </c>
    </row>
    <row r="169" spans="1:15">
      <c r="A169">
        <v>3</v>
      </c>
      <c r="B169" t="s">
        <v>151</v>
      </c>
      <c r="C169">
        <v>2</v>
      </c>
      <c r="D169">
        <v>0.1</v>
      </c>
      <c r="E169">
        <v>10</v>
      </c>
      <c r="F169" t="s">
        <v>211</v>
      </c>
      <c r="G169" t="s">
        <v>105</v>
      </c>
      <c r="H169">
        <v>7</v>
      </c>
      <c r="I169">
        <v>0</v>
      </c>
      <c r="J169">
        <v>0.11</v>
      </c>
      <c r="K169">
        <v>2.02</v>
      </c>
      <c r="L169" t="s">
        <v>101</v>
      </c>
      <c r="M169">
        <f>H169+I169</f>
        <v>0</v>
      </c>
      <c r="N169">
        <f>IF(M169&gt;0,H169/M169,"")</f>
        <v>0</v>
      </c>
      <c r="O169">
        <f>VALUE(TRIM(MID(L169,FIND(":",L169)+1,FIND(",",L169)-FIND(":",L169)-1)))+VALUE(TRIM(MID(L169,FIND("conditionals:",L169)+13,LEN(L169))))</f>
        <v>0</v>
      </c>
    </row>
    <row r="170" spans="1:15">
      <c r="A170">
        <v>4</v>
      </c>
      <c r="B170" t="s">
        <v>151</v>
      </c>
      <c r="C170">
        <v>2</v>
      </c>
      <c r="D170">
        <v>0.1</v>
      </c>
      <c r="E170">
        <v>10</v>
      </c>
      <c r="F170" t="s">
        <v>212</v>
      </c>
      <c r="G170" t="s">
        <v>116</v>
      </c>
      <c r="H170">
        <v>10</v>
      </c>
      <c r="I170">
        <v>0</v>
      </c>
      <c r="J170">
        <v>0.11</v>
      </c>
      <c r="K170">
        <v>2.04</v>
      </c>
      <c r="L170" t="s">
        <v>60</v>
      </c>
      <c r="M170">
        <f>H170+I170</f>
        <v>0</v>
      </c>
      <c r="N170">
        <f>IF(M170&gt;0,H170/M170,"")</f>
        <v>0</v>
      </c>
      <c r="O170">
        <f>VALUE(TRIM(MID(L170,FIND(":",L170)+1,FIND(",",L170)-FIND(":",L170)-1)))+VALUE(TRIM(MID(L170,FIND("conditionals:",L170)+13,LEN(L170))))</f>
        <v>0</v>
      </c>
    </row>
    <row r="171" spans="1:15">
      <c r="A171">
        <v>5</v>
      </c>
      <c r="B171" t="s">
        <v>151</v>
      </c>
      <c r="C171">
        <v>2</v>
      </c>
      <c r="D171">
        <v>0.1</v>
      </c>
      <c r="E171">
        <v>10</v>
      </c>
      <c r="F171" t="s">
        <v>213</v>
      </c>
      <c r="G171" t="s">
        <v>98</v>
      </c>
      <c r="H171">
        <v>4</v>
      </c>
      <c r="I171">
        <v>0</v>
      </c>
      <c r="J171">
        <v>0.11</v>
      </c>
      <c r="K171">
        <v>2.06</v>
      </c>
      <c r="L171" t="s">
        <v>30</v>
      </c>
      <c r="M171">
        <f>H171+I171</f>
        <v>0</v>
      </c>
      <c r="N171">
        <f>IF(M171&gt;0,H171/M171,"")</f>
        <v>0</v>
      </c>
      <c r="O171">
        <f>VALUE(TRIM(MID(L171,FIND(":",L171)+1,FIND(",",L171)-FIND(":",L171)-1)))+VALUE(TRIM(MID(L171,FIND("conditionals:",L171)+13,LEN(L171))))</f>
        <v>0</v>
      </c>
    </row>
    <row r="172" spans="1:15">
      <c r="A172">
        <v>1</v>
      </c>
      <c r="B172" t="s">
        <v>151</v>
      </c>
      <c r="C172">
        <v>2</v>
      </c>
      <c r="D172">
        <v>0.5</v>
      </c>
      <c r="E172">
        <v>30</v>
      </c>
      <c r="F172" t="s">
        <v>214</v>
      </c>
      <c r="G172" t="s">
        <v>175</v>
      </c>
      <c r="H172">
        <v>4</v>
      </c>
      <c r="I172">
        <v>0</v>
      </c>
      <c r="J172">
        <v>0.11</v>
      </c>
      <c r="K172">
        <v>2.02</v>
      </c>
      <c r="L172" t="s">
        <v>215</v>
      </c>
      <c r="M172">
        <f>H172+I172</f>
        <v>0</v>
      </c>
      <c r="N172">
        <f>IF(M172&gt;0,H172/M172,"")</f>
        <v>0</v>
      </c>
      <c r="O172">
        <f>VALUE(TRIM(MID(L172,FIND(":",L172)+1,FIND(",",L172)-FIND(":",L172)-1)))+VALUE(TRIM(MID(L172,FIND("conditionals:",L172)+13,LEN(L172))))</f>
        <v>0</v>
      </c>
    </row>
    <row r="173" spans="1:15">
      <c r="A173">
        <v>2</v>
      </c>
      <c r="B173" t="s">
        <v>151</v>
      </c>
      <c r="C173">
        <v>2</v>
      </c>
      <c r="D173">
        <v>0.5</v>
      </c>
      <c r="E173">
        <v>30</v>
      </c>
      <c r="F173" t="s">
        <v>216</v>
      </c>
      <c r="G173" t="s">
        <v>105</v>
      </c>
      <c r="H173">
        <v>7</v>
      </c>
      <c r="I173">
        <v>0</v>
      </c>
      <c r="J173">
        <v>0.11</v>
      </c>
      <c r="K173">
        <v>2.02</v>
      </c>
      <c r="L173" t="s">
        <v>45</v>
      </c>
      <c r="M173">
        <f>H173+I173</f>
        <v>0</v>
      </c>
      <c r="N173">
        <f>IF(M173&gt;0,H173/M173,"")</f>
        <v>0</v>
      </c>
      <c r="O173">
        <f>VALUE(TRIM(MID(L173,FIND(":",L173)+1,FIND(",",L173)-FIND(":",L173)-1)))+VALUE(TRIM(MID(L173,FIND("conditionals:",L173)+13,LEN(L173))))</f>
        <v>0</v>
      </c>
    </row>
    <row r="174" spans="1:15">
      <c r="A174">
        <v>3</v>
      </c>
      <c r="B174" t="s">
        <v>151</v>
      </c>
      <c r="C174">
        <v>2</v>
      </c>
      <c r="D174">
        <v>0.5</v>
      </c>
      <c r="E174">
        <v>30</v>
      </c>
      <c r="F174" t="s">
        <v>217</v>
      </c>
      <c r="G174" t="s">
        <v>17</v>
      </c>
      <c r="H174">
        <v>5</v>
      </c>
      <c r="I174">
        <v>0</v>
      </c>
      <c r="J174">
        <v>0.12</v>
      </c>
      <c r="K174">
        <v>2.01</v>
      </c>
      <c r="L174" t="s">
        <v>48</v>
      </c>
      <c r="M174">
        <f>H174+I174</f>
        <v>0</v>
      </c>
      <c r="N174">
        <f>IF(M174&gt;0,H174/M174,"")</f>
        <v>0</v>
      </c>
      <c r="O174">
        <f>VALUE(TRIM(MID(L174,FIND(":",L174)+1,FIND(",",L174)-FIND(":",L174)-1)))+VALUE(TRIM(MID(L174,FIND("conditionals:",L174)+13,LEN(L174))))</f>
        <v>0</v>
      </c>
    </row>
    <row r="175" spans="1:15">
      <c r="A175">
        <v>4</v>
      </c>
      <c r="B175" t="s">
        <v>151</v>
      </c>
      <c r="C175">
        <v>2</v>
      </c>
      <c r="D175">
        <v>0.5</v>
      </c>
      <c r="E175">
        <v>30</v>
      </c>
      <c r="F175" t="s">
        <v>218</v>
      </c>
      <c r="G175" t="s">
        <v>67</v>
      </c>
      <c r="H175">
        <v>9</v>
      </c>
      <c r="I175">
        <v>0</v>
      </c>
      <c r="J175">
        <v>0.11</v>
      </c>
      <c r="K175">
        <v>2.03</v>
      </c>
      <c r="L175" t="s">
        <v>27</v>
      </c>
      <c r="M175">
        <f>H175+I175</f>
        <v>0</v>
      </c>
      <c r="N175">
        <f>IF(M175&gt;0,H175/M175,"")</f>
        <v>0</v>
      </c>
      <c r="O175">
        <f>VALUE(TRIM(MID(L175,FIND(":",L175)+1,FIND(",",L175)-FIND(":",L175)-1)))+VALUE(TRIM(MID(L175,FIND("conditionals:",L175)+13,LEN(L175))))</f>
        <v>0</v>
      </c>
    </row>
    <row r="176" spans="1:15">
      <c r="A176">
        <v>5</v>
      </c>
      <c r="B176" t="s">
        <v>151</v>
      </c>
      <c r="C176">
        <v>2</v>
      </c>
      <c r="D176">
        <v>0.5</v>
      </c>
      <c r="E176">
        <v>30</v>
      </c>
      <c r="F176" t="s">
        <v>219</v>
      </c>
      <c r="G176" t="s">
        <v>220</v>
      </c>
      <c r="H176">
        <v>4</v>
      </c>
      <c r="I176">
        <v>0</v>
      </c>
      <c r="J176">
        <v>0.11</v>
      </c>
      <c r="K176">
        <v>2.03</v>
      </c>
      <c r="L176" t="s">
        <v>30</v>
      </c>
      <c r="M176">
        <f>H176+I176</f>
        <v>0</v>
      </c>
      <c r="N176">
        <f>IF(M176&gt;0,H176/M176,"")</f>
        <v>0</v>
      </c>
      <c r="O176">
        <f>VALUE(TRIM(MID(L176,FIND(":",L176)+1,FIND(",",L176)-FIND(":",L176)-1)))+VALUE(TRIM(MID(L176,FIND("conditionals:",L176)+13,LEN(L176))))</f>
        <v>0</v>
      </c>
    </row>
    <row r="177" spans="1:15">
      <c r="A177">
        <v>1</v>
      </c>
      <c r="B177" t="s">
        <v>151</v>
      </c>
      <c r="C177">
        <v>2</v>
      </c>
      <c r="D177">
        <v>0.95</v>
      </c>
      <c r="E177">
        <v>100</v>
      </c>
      <c r="F177" t="s">
        <v>221</v>
      </c>
      <c r="G177" t="s">
        <v>98</v>
      </c>
      <c r="H177">
        <v>4</v>
      </c>
      <c r="I177">
        <v>0</v>
      </c>
      <c r="J177">
        <v>0.11</v>
      </c>
      <c r="K177">
        <v>2.06</v>
      </c>
      <c r="L177" t="s">
        <v>42</v>
      </c>
      <c r="M177">
        <f>H177+I177</f>
        <v>0</v>
      </c>
      <c r="N177">
        <f>IF(M177&gt;0,H177/M177,"")</f>
        <v>0</v>
      </c>
      <c r="O177">
        <f>VALUE(TRIM(MID(L177,FIND(":",L177)+1,FIND(",",L177)-FIND(":",L177)-1)))+VALUE(TRIM(MID(L177,FIND("conditionals:",L177)+13,LEN(L177))))</f>
        <v>0</v>
      </c>
    </row>
    <row r="178" spans="1:15">
      <c r="A178">
        <v>2</v>
      </c>
      <c r="B178" t="s">
        <v>151</v>
      </c>
      <c r="C178">
        <v>2</v>
      </c>
      <c r="D178">
        <v>0.95</v>
      </c>
      <c r="E178">
        <v>100</v>
      </c>
      <c r="F178" t="s">
        <v>222</v>
      </c>
      <c r="G178" t="s">
        <v>29</v>
      </c>
      <c r="H178">
        <v>6</v>
      </c>
      <c r="I178">
        <v>0</v>
      </c>
      <c r="J178">
        <v>0.11</v>
      </c>
      <c r="K178">
        <v>2.04</v>
      </c>
      <c r="L178" t="s">
        <v>45</v>
      </c>
      <c r="M178">
        <f>H178+I178</f>
        <v>0</v>
      </c>
      <c r="N178">
        <f>IF(M178&gt;0,H178/M178,"")</f>
        <v>0</v>
      </c>
      <c r="O178">
        <f>VALUE(TRIM(MID(L178,FIND(":",L178)+1,FIND(",",L178)-FIND(":",L178)-1)))+VALUE(TRIM(MID(L178,FIND("conditionals:",L178)+13,LEN(L178))))</f>
        <v>0</v>
      </c>
    </row>
    <row r="179" spans="1:15">
      <c r="A179">
        <v>3</v>
      </c>
      <c r="B179" t="s">
        <v>151</v>
      </c>
      <c r="C179">
        <v>2</v>
      </c>
      <c r="D179">
        <v>0.95</v>
      </c>
      <c r="E179">
        <v>100</v>
      </c>
      <c r="F179" t="s">
        <v>223</v>
      </c>
      <c r="G179" t="s">
        <v>17</v>
      </c>
      <c r="H179">
        <v>5</v>
      </c>
      <c r="I179">
        <v>0</v>
      </c>
      <c r="J179">
        <v>0.11</v>
      </c>
      <c r="K179">
        <v>2.02</v>
      </c>
      <c r="L179" t="s">
        <v>48</v>
      </c>
      <c r="M179">
        <f>H179+I179</f>
        <v>0</v>
      </c>
      <c r="N179">
        <f>IF(M179&gt;0,H179/M179,"")</f>
        <v>0</v>
      </c>
      <c r="O179">
        <f>VALUE(TRIM(MID(L179,FIND(":",L179)+1,FIND(",",L179)-FIND(":",L179)-1)))+VALUE(TRIM(MID(L179,FIND("conditionals:",L179)+13,LEN(L179))))</f>
        <v>0</v>
      </c>
    </row>
    <row r="180" spans="1:15">
      <c r="A180">
        <v>4</v>
      </c>
      <c r="B180" t="s">
        <v>151</v>
      </c>
      <c r="C180">
        <v>2</v>
      </c>
      <c r="D180">
        <v>0.95</v>
      </c>
      <c r="E180">
        <v>100</v>
      </c>
      <c r="F180" t="s">
        <v>224</v>
      </c>
      <c r="G180" t="s">
        <v>20</v>
      </c>
      <c r="H180">
        <v>8</v>
      </c>
      <c r="I180">
        <v>0</v>
      </c>
      <c r="J180">
        <v>0.11</v>
      </c>
      <c r="K180">
        <v>2.01</v>
      </c>
      <c r="L180" t="s">
        <v>27</v>
      </c>
      <c r="M180">
        <f>H180+I180</f>
        <v>0</v>
      </c>
      <c r="N180">
        <f>IF(M180&gt;0,H180/M180,"")</f>
        <v>0</v>
      </c>
      <c r="O180">
        <f>VALUE(TRIM(MID(L180,FIND(":",L180)+1,FIND(",",L180)-FIND(":",L180)-1)))+VALUE(TRIM(MID(L180,FIND("conditionals:",L180)+13,LEN(L180))))</f>
        <v>0</v>
      </c>
    </row>
    <row r="181" spans="1:15">
      <c r="A181">
        <v>5</v>
      </c>
      <c r="B181" t="s">
        <v>151</v>
      </c>
      <c r="C181">
        <v>2</v>
      </c>
      <c r="D181">
        <v>0.95</v>
      </c>
      <c r="E181">
        <v>100</v>
      </c>
      <c r="F181" t="s">
        <v>225</v>
      </c>
      <c r="G181" t="s">
        <v>122</v>
      </c>
      <c r="H181">
        <v>3</v>
      </c>
      <c r="I181">
        <v>0</v>
      </c>
      <c r="J181">
        <v>0.11</v>
      </c>
      <c r="K181">
        <v>2.03</v>
      </c>
      <c r="L181" t="s">
        <v>158</v>
      </c>
      <c r="M181">
        <f>H181+I181</f>
        <v>0</v>
      </c>
      <c r="N181">
        <f>IF(M181&gt;0,H181/M181,"")</f>
        <v>0</v>
      </c>
      <c r="O181">
        <f>VALUE(TRIM(MID(L181,FIND(":",L181)+1,FIND(",",L181)-FIND(":",L181)-1)))+VALUE(TRIM(MID(L181,FIND("conditionals:",L181)+13,LEN(L181))))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sheetFormatPr defaultRowHeight="15"/>
  <cols>
    <col min="1" max="1" width="20.7109375" customWidth="1"/>
    <col min="2" max="4" width="14.7109375" customWidth="1"/>
    <col min="5" max="8" width="18.7109375" customWidth="1"/>
    <col min="9" max="9" width="40.7109375" customWidth="1"/>
    <col min="10" max="16" width="16.7109375" customWidth="1"/>
  </cols>
  <sheetData>
    <row r="1" spans="1:16">
      <c r="A1" t="s">
        <v>226</v>
      </c>
      <c r="B1" t="s">
        <v>227</v>
      </c>
      <c r="C1" t="s">
        <v>3</v>
      </c>
      <c r="D1" t="s">
        <v>4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>
      <c r="A2" t="s">
        <v>15</v>
      </c>
      <c r="B2">
        <v>0</v>
      </c>
      <c r="C2">
        <v>0.1</v>
      </c>
      <c r="D2">
        <v>10</v>
      </c>
      <c r="E2">
        <f>AVERAGEIFS('Raw Data'!$N:$N,'Raw Data'!$B:$B,"gemini-2.0-flash-lite",'Raw Data'!$C:$C,"0.0",'Raw Data'!$D:$D,"0.1",'Raw Data'!$E:$E,"10")</f>
        <v>0</v>
      </c>
      <c r="F2">
        <f>AVERAGEIFS('Raw Data'!$J:$J,'Raw Data'!$B:$B,"gemini-2.0-flash-lite",'Raw Data'!$C:$C,"0.0",'Raw Data'!$D:$D,"0.1",'Raw Data'!$E:$E,"10")</f>
        <v>0</v>
      </c>
      <c r="G2">
        <f>AVERAGEIFS('Raw Data'!$K:$K,'Raw Data'!$B:$B,"gemini-2.0-flash-lite",'Raw Data'!$C:$C,"0.0",'Raw Data'!$D:$D,"0.1",'Raw Data'!$E:$E,"10")</f>
        <v>0</v>
      </c>
      <c r="H2">
        <f>AVERAGEIFS('Raw Data'!$O:$O,'Raw Data'!$B:$B,"gemini-2.0-flash-lite",'Raw Data'!$C:$C,"0.0",'Raw Data'!$D:$D,"0.1",'Raw Data'!$E:$E,"10")</f>
        <v>0</v>
      </c>
      <c r="I2">
        <f>A2 &amp; " (T:" &amp; B2 &amp; ", p:" &amp; C2 &amp; ", k:" &amp; D2 &amp; ")"</f>
        <v>0</v>
      </c>
      <c r="J2">
        <f>RANK.EQ(E2,$E$2:$E$37,0)</f>
        <v>0</v>
      </c>
      <c r="K2">
        <f>RANK.EQ(F2,$F$2:$F$37,1)</f>
        <v>0</v>
      </c>
      <c r="L2">
        <f>RANK.EQ(G2,$G$2:$G$37,1)</f>
        <v>0</v>
      </c>
      <c r="M2">
        <f>RANK.EQ(H2,$H$2:$H$37,1)</f>
        <v>0</v>
      </c>
      <c r="N2">
        <f>AVERAGE(J2,K2,L2,M2)</f>
        <v>0</v>
      </c>
      <c r="O2">
        <f>IF(N2=MIN($N$2:$N$37),"Yes","")</f>
        <v>0</v>
      </c>
      <c r="P2">
        <f>IF(N2=MINIFS($N$2:$N$37,$A$2:$A$37,A2),"Yes","")</f>
        <v>0</v>
      </c>
    </row>
    <row r="7" spans="1:16">
      <c r="A7" t="s">
        <v>15</v>
      </c>
      <c r="B7">
        <v>0</v>
      </c>
      <c r="C7">
        <v>0.5</v>
      </c>
      <c r="D7">
        <v>30</v>
      </c>
      <c r="E7">
        <f>AVERAGEIFS('Raw Data'!$N:$N,'Raw Data'!$B:$B,"gemini-2.0-flash-lite",'Raw Data'!$C:$C,"0.0",'Raw Data'!$D:$D,"0.5",'Raw Data'!$E:$E,"30")</f>
        <v>0</v>
      </c>
      <c r="F7">
        <f>AVERAGEIFS('Raw Data'!$J:$J,'Raw Data'!$B:$B,"gemini-2.0-flash-lite",'Raw Data'!$C:$C,"0.0",'Raw Data'!$D:$D,"0.5",'Raw Data'!$E:$E,"30")</f>
        <v>0</v>
      </c>
      <c r="G7">
        <f>AVERAGEIFS('Raw Data'!$K:$K,'Raw Data'!$B:$B,"gemini-2.0-flash-lite",'Raw Data'!$C:$C,"0.0",'Raw Data'!$D:$D,"0.5",'Raw Data'!$E:$E,"30")</f>
        <v>0</v>
      </c>
      <c r="H7">
        <f>AVERAGEIFS('Raw Data'!$O:$O,'Raw Data'!$B:$B,"gemini-2.0-flash-lite",'Raw Data'!$C:$C,"0.0",'Raw Data'!$D:$D,"0.5",'Raw Data'!$E:$E,"30")</f>
        <v>0</v>
      </c>
      <c r="I7">
        <f>A7 &amp; " (T:" &amp; B7 &amp; ", p:" &amp; C7 &amp; ", k:" &amp; D7 &amp; ")"</f>
        <v>0</v>
      </c>
      <c r="J7">
        <f>RANK.EQ(E7,$E$2:$E$37,0)</f>
        <v>0</v>
      </c>
      <c r="K7">
        <f>RANK.EQ(F7,$F$2:$F$37,1)</f>
        <v>0</v>
      </c>
      <c r="L7">
        <f>RANK.EQ(G7,$G$2:$G$37,1)</f>
        <v>0</v>
      </c>
      <c r="M7">
        <f>RANK.EQ(H7,$H$2:$H$37,1)</f>
        <v>0</v>
      </c>
      <c r="N7">
        <f>AVERAGE(J7,K7,L7,M7)</f>
        <v>0</v>
      </c>
      <c r="O7">
        <f>IF(N7=MIN($N$2:$N$37),"Yes","")</f>
        <v>0</v>
      </c>
      <c r="P7">
        <f>IF(N7=MINIFS($N$2:$N$37,$A$2:$A$37,A7),"Yes","")</f>
        <v>0</v>
      </c>
    </row>
    <row r="12" spans="1:16">
      <c r="A12" t="s">
        <v>15</v>
      </c>
      <c r="B12">
        <v>0</v>
      </c>
      <c r="C12">
        <v>0.95</v>
      </c>
      <c r="D12">
        <v>100</v>
      </c>
      <c r="E12">
        <f>AVERAGEIFS('Raw Data'!$N:$N,'Raw Data'!$B:$B,"gemini-2.0-flash-lite",'Raw Data'!$C:$C,"0.0",'Raw Data'!$D:$D,"0.95",'Raw Data'!$E:$E,"100")</f>
        <v>0</v>
      </c>
      <c r="F12">
        <f>AVERAGEIFS('Raw Data'!$J:$J,'Raw Data'!$B:$B,"gemini-2.0-flash-lite",'Raw Data'!$C:$C,"0.0",'Raw Data'!$D:$D,"0.95",'Raw Data'!$E:$E,"100")</f>
        <v>0</v>
      </c>
      <c r="G12">
        <f>AVERAGEIFS('Raw Data'!$K:$K,'Raw Data'!$B:$B,"gemini-2.0-flash-lite",'Raw Data'!$C:$C,"0.0",'Raw Data'!$D:$D,"0.95",'Raw Data'!$E:$E,"100")</f>
        <v>0</v>
      </c>
      <c r="H12">
        <f>AVERAGEIFS('Raw Data'!$O:$O,'Raw Data'!$B:$B,"gemini-2.0-flash-lite",'Raw Data'!$C:$C,"0.0",'Raw Data'!$D:$D,"0.95",'Raw Data'!$E:$E,"100")</f>
        <v>0</v>
      </c>
      <c r="I12">
        <f>A12 &amp; " (T:" &amp; B12 &amp; ", p:" &amp; C12 &amp; ", k:" &amp; D12 &amp; ")"</f>
        <v>0</v>
      </c>
      <c r="J12">
        <f>RANK.EQ(E12,$E$2:$E$37,0)</f>
        <v>0</v>
      </c>
      <c r="K12">
        <f>RANK.EQ(F12,$F$2:$F$37,1)</f>
        <v>0</v>
      </c>
      <c r="L12">
        <f>RANK.EQ(G12,$G$2:$G$37,1)</f>
        <v>0</v>
      </c>
      <c r="M12">
        <f>RANK.EQ(H12,$H$2:$H$37,1)</f>
        <v>0</v>
      </c>
      <c r="N12">
        <f>AVERAGE(J12,K12,L12,M12)</f>
        <v>0</v>
      </c>
      <c r="O12">
        <f>IF(N12=MIN($N$2:$N$37),"Yes","")</f>
        <v>0</v>
      </c>
      <c r="P12">
        <f>IF(N12=MINIFS($N$2:$N$37,$A$2:$A$37,A12),"Yes","")</f>
        <v>0</v>
      </c>
    </row>
    <row r="17" spans="1:16">
      <c r="A17" t="s">
        <v>15</v>
      </c>
      <c r="B17">
        <v>0.5</v>
      </c>
      <c r="C17">
        <v>0.1</v>
      </c>
      <c r="D17">
        <v>10</v>
      </c>
      <c r="E17">
        <f>AVERAGEIFS('Raw Data'!$N:$N,'Raw Data'!$B:$B,"gemini-2.0-flash-lite",'Raw Data'!$C:$C,"0.5",'Raw Data'!$D:$D,"0.1",'Raw Data'!$E:$E,"10")</f>
        <v>0</v>
      </c>
      <c r="F17">
        <f>AVERAGEIFS('Raw Data'!$J:$J,'Raw Data'!$B:$B,"gemini-2.0-flash-lite",'Raw Data'!$C:$C,"0.5",'Raw Data'!$D:$D,"0.1",'Raw Data'!$E:$E,"10")</f>
        <v>0</v>
      </c>
      <c r="G17">
        <f>AVERAGEIFS('Raw Data'!$K:$K,'Raw Data'!$B:$B,"gemini-2.0-flash-lite",'Raw Data'!$C:$C,"0.5",'Raw Data'!$D:$D,"0.1",'Raw Data'!$E:$E,"10")</f>
        <v>0</v>
      </c>
      <c r="H17">
        <f>AVERAGEIFS('Raw Data'!$O:$O,'Raw Data'!$B:$B,"gemini-2.0-flash-lite",'Raw Data'!$C:$C,"0.5",'Raw Data'!$D:$D,"0.1",'Raw Data'!$E:$E,"10")</f>
        <v>0</v>
      </c>
      <c r="I17">
        <f>A17 &amp; " (T:" &amp; B17 &amp; ", p:" &amp; C17 &amp; ", k:" &amp; D17 &amp; ")"</f>
        <v>0</v>
      </c>
      <c r="J17">
        <f>RANK.EQ(E17,$E$2:$E$37,0)</f>
        <v>0</v>
      </c>
      <c r="K17">
        <f>RANK.EQ(F17,$F$2:$F$37,1)</f>
        <v>0</v>
      </c>
      <c r="L17">
        <f>RANK.EQ(G17,$G$2:$G$37,1)</f>
        <v>0</v>
      </c>
      <c r="M17">
        <f>RANK.EQ(H17,$H$2:$H$37,1)</f>
        <v>0</v>
      </c>
      <c r="N17">
        <f>AVERAGE(J17,K17,L17,M17)</f>
        <v>0</v>
      </c>
      <c r="O17">
        <f>IF(N17=MIN($N$2:$N$37),"Yes","")</f>
        <v>0</v>
      </c>
      <c r="P17">
        <f>IF(N17=MINIFS($N$2:$N$37,$A$2:$A$37,A17),"Yes","")</f>
        <v>0</v>
      </c>
    </row>
    <row r="22" spans="1:16">
      <c r="A22" t="s">
        <v>15</v>
      </c>
      <c r="B22">
        <v>0.5</v>
      </c>
      <c r="C22">
        <v>0.5</v>
      </c>
      <c r="D22">
        <v>30</v>
      </c>
      <c r="E22">
        <f>AVERAGEIFS('Raw Data'!$N:$N,'Raw Data'!$B:$B,"gemini-2.0-flash-lite",'Raw Data'!$C:$C,"0.5",'Raw Data'!$D:$D,"0.5",'Raw Data'!$E:$E,"30")</f>
        <v>0</v>
      </c>
      <c r="F22">
        <f>AVERAGEIFS('Raw Data'!$J:$J,'Raw Data'!$B:$B,"gemini-2.0-flash-lite",'Raw Data'!$C:$C,"0.5",'Raw Data'!$D:$D,"0.5",'Raw Data'!$E:$E,"30")</f>
        <v>0</v>
      </c>
      <c r="G22">
        <f>AVERAGEIFS('Raw Data'!$K:$K,'Raw Data'!$B:$B,"gemini-2.0-flash-lite",'Raw Data'!$C:$C,"0.5",'Raw Data'!$D:$D,"0.5",'Raw Data'!$E:$E,"30")</f>
        <v>0</v>
      </c>
      <c r="H22">
        <f>AVERAGEIFS('Raw Data'!$O:$O,'Raw Data'!$B:$B,"gemini-2.0-flash-lite",'Raw Data'!$C:$C,"0.5",'Raw Data'!$D:$D,"0.5",'Raw Data'!$E:$E,"30")</f>
        <v>0</v>
      </c>
      <c r="I22">
        <f>A22 &amp; " (T:" &amp; B22 &amp; ", p:" &amp; C22 &amp; ", k:" &amp; D22 &amp; ")"</f>
        <v>0</v>
      </c>
      <c r="J22">
        <f>RANK.EQ(E22,$E$2:$E$37,0)</f>
        <v>0</v>
      </c>
      <c r="K22">
        <f>RANK.EQ(F22,$F$2:$F$37,1)</f>
        <v>0</v>
      </c>
      <c r="L22">
        <f>RANK.EQ(G22,$G$2:$G$37,1)</f>
        <v>0</v>
      </c>
      <c r="M22">
        <f>RANK.EQ(H22,$H$2:$H$37,1)</f>
        <v>0</v>
      </c>
      <c r="N22">
        <f>AVERAGE(J22,K22,L22,M22)</f>
        <v>0</v>
      </c>
      <c r="O22">
        <f>IF(N22=MIN($N$2:$N$37),"Yes","")</f>
        <v>0</v>
      </c>
      <c r="P22">
        <f>IF(N22=MINIFS($N$2:$N$37,$A$2:$A$37,A22),"Yes","")</f>
        <v>0</v>
      </c>
    </row>
    <row r="27" spans="1:16">
      <c r="A27" t="s">
        <v>15</v>
      </c>
      <c r="B27">
        <v>0.5</v>
      </c>
      <c r="C27">
        <v>0.95</v>
      </c>
      <c r="D27">
        <v>100</v>
      </c>
      <c r="E27">
        <f>AVERAGEIFS('Raw Data'!$N:$N,'Raw Data'!$B:$B,"gemini-2.0-flash-lite",'Raw Data'!$C:$C,"0.5",'Raw Data'!$D:$D,"0.95",'Raw Data'!$E:$E,"100")</f>
        <v>0</v>
      </c>
      <c r="F27">
        <f>AVERAGEIFS('Raw Data'!$J:$J,'Raw Data'!$B:$B,"gemini-2.0-flash-lite",'Raw Data'!$C:$C,"0.5",'Raw Data'!$D:$D,"0.95",'Raw Data'!$E:$E,"100")</f>
        <v>0</v>
      </c>
      <c r="G27">
        <f>AVERAGEIFS('Raw Data'!$K:$K,'Raw Data'!$B:$B,"gemini-2.0-flash-lite",'Raw Data'!$C:$C,"0.5",'Raw Data'!$D:$D,"0.95",'Raw Data'!$E:$E,"100")</f>
        <v>0</v>
      </c>
      <c r="H27">
        <f>AVERAGEIFS('Raw Data'!$O:$O,'Raw Data'!$B:$B,"gemini-2.0-flash-lite",'Raw Data'!$C:$C,"0.5",'Raw Data'!$D:$D,"0.95",'Raw Data'!$E:$E,"100")</f>
        <v>0</v>
      </c>
      <c r="I27">
        <f>A27 &amp; " (T:" &amp; B27 &amp; ", p:" &amp; C27 &amp; ", k:" &amp; D27 &amp; ")"</f>
        <v>0</v>
      </c>
      <c r="J27">
        <f>RANK.EQ(E27,$E$2:$E$37,0)</f>
        <v>0</v>
      </c>
      <c r="K27">
        <f>RANK.EQ(F27,$F$2:$F$37,1)</f>
        <v>0</v>
      </c>
      <c r="L27">
        <f>RANK.EQ(G27,$G$2:$G$37,1)</f>
        <v>0</v>
      </c>
      <c r="M27">
        <f>RANK.EQ(H27,$H$2:$H$37,1)</f>
        <v>0</v>
      </c>
      <c r="N27">
        <f>AVERAGE(J27,K27,L27,M27)</f>
        <v>0</v>
      </c>
      <c r="O27">
        <f>IF(N27=MIN($N$2:$N$37),"Yes","")</f>
        <v>0</v>
      </c>
      <c r="P27">
        <f>IF(N27=MINIFS($N$2:$N$37,$A$2:$A$37,A27),"Yes","")</f>
        <v>0</v>
      </c>
    </row>
    <row r="32" spans="1:16">
      <c r="A32" t="s">
        <v>15</v>
      </c>
      <c r="B32">
        <v>1</v>
      </c>
      <c r="C32">
        <v>0.1</v>
      </c>
      <c r="D32">
        <v>10</v>
      </c>
      <c r="E32">
        <f>AVERAGEIFS('Raw Data'!$N:$N,'Raw Data'!$B:$B,"gemini-2.0-flash-lite",'Raw Data'!$C:$C,"1.0",'Raw Data'!$D:$D,"0.1",'Raw Data'!$E:$E,"10")</f>
        <v>0</v>
      </c>
      <c r="F32">
        <f>AVERAGEIFS('Raw Data'!$J:$J,'Raw Data'!$B:$B,"gemini-2.0-flash-lite",'Raw Data'!$C:$C,"1.0",'Raw Data'!$D:$D,"0.1",'Raw Data'!$E:$E,"10")</f>
        <v>0</v>
      </c>
      <c r="G32">
        <f>AVERAGEIFS('Raw Data'!$K:$K,'Raw Data'!$B:$B,"gemini-2.0-flash-lite",'Raw Data'!$C:$C,"1.0",'Raw Data'!$D:$D,"0.1",'Raw Data'!$E:$E,"10")</f>
        <v>0</v>
      </c>
      <c r="H32">
        <f>AVERAGEIFS('Raw Data'!$O:$O,'Raw Data'!$B:$B,"gemini-2.0-flash-lite",'Raw Data'!$C:$C,"1.0",'Raw Data'!$D:$D,"0.1",'Raw Data'!$E:$E,"10")</f>
        <v>0</v>
      </c>
      <c r="I32">
        <f>A32 &amp; " (T:" &amp; B32 &amp; ", p:" &amp; C32 &amp; ", k:" &amp; D32 &amp; ")"</f>
        <v>0</v>
      </c>
      <c r="J32">
        <f>RANK.EQ(E32,$E$2:$E$37,0)</f>
        <v>0</v>
      </c>
      <c r="K32">
        <f>RANK.EQ(F32,$F$2:$F$37,1)</f>
        <v>0</v>
      </c>
      <c r="L32">
        <f>RANK.EQ(G32,$G$2:$G$37,1)</f>
        <v>0</v>
      </c>
      <c r="M32">
        <f>RANK.EQ(H32,$H$2:$H$37,1)</f>
        <v>0</v>
      </c>
      <c r="N32">
        <f>AVERAGE(J32,K32,L32,M32)</f>
        <v>0</v>
      </c>
      <c r="O32">
        <f>IF(N32=MIN($N$2:$N$37),"Yes","")</f>
        <v>0</v>
      </c>
      <c r="P32">
        <f>IF(N32=MINIFS($N$2:$N$37,$A$2:$A$37,A32),"Yes","")</f>
        <v>0</v>
      </c>
    </row>
    <row r="37" spans="1:16">
      <c r="A37" t="s">
        <v>15</v>
      </c>
      <c r="B37">
        <v>1</v>
      </c>
      <c r="C37">
        <v>0.5</v>
      </c>
      <c r="D37">
        <v>30</v>
      </c>
      <c r="E37">
        <f>AVERAGEIFS('Raw Data'!$N:$N,'Raw Data'!$B:$B,"gemini-2.0-flash-lite",'Raw Data'!$C:$C,"1.0",'Raw Data'!$D:$D,"0.5",'Raw Data'!$E:$E,"30")</f>
        <v>0</v>
      </c>
      <c r="F37">
        <f>AVERAGEIFS('Raw Data'!$J:$J,'Raw Data'!$B:$B,"gemini-2.0-flash-lite",'Raw Data'!$C:$C,"1.0",'Raw Data'!$D:$D,"0.5",'Raw Data'!$E:$E,"30")</f>
        <v>0</v>
      </c>
      <c r="G37">
        <f>AVERAGEIFS('Raw Data'!$K:$K,'Raw Data'!$B:$B,"gemini-2.0-flash-lite",'Raw Data'!$C:$C,"1.0",'Raw Data'!$D:$D,"0.5",'Raw Data'!$E:$E,"30")</f>
        <v>0</v>
      </c>
      <c r="H37">
        <f>AVERAGEIFS('Raw Data'!$O:$O,'Raw Data'!$B:$B,"gemini-2.0-flash-lite",'Raw Data'!$C:$C,"1.0",'Raw Data'!$D:$D,"0.5",'Raw Data'!$E:$E,"30")</f>
        <v>0</v>
      </c>
      <c r="I37">
        <f>A37 &amp; " (T:" &amp; B37 &amp; ", p:" &amp; C37 &amp; ", k:" &amp; D37 &amp; ")"</f>
        <v>0</v>
      </c>
      <c r="J37">
        <f>RANK.EQ(E37,$E$2:$E$37,0)</f>
        <v>0</v>
      </c>
      <c r="K37">
        <f>RANK.EQ(F37,$F$2:$F$37,1)</f>
        <v>0</v>
      </c>
      <c r="L37">
        <f>RANK.EQ(G37,$G$2:$G$37,1)</f>
        <v>0</v>
      </c>
      <c r="M37">
        <f>RANK.EQ(H37,$H$2:$H$37,1)</f>
        <v>0</v>
      </c>
      <c r="N37">
        <f>AVERAGE(J37,K37,L37,M37)</f>
        <v>0</v>
      </c>
      <c r="O37">
        <f>IF(N37=MIN($N$2:$N$37),"Yes","")</f>
        <v>0</v>
      </c>
      <c r="P37">
        <f>IF(N37=MINIFS($N$2:$N$37,$A$2:$A$37,A37),"Yes","")</f>
        <v>0</v>
      </c>
    </row>
    <row r="42" spans="1:16">
      <c r="A42" t="s">
        <v>15</v>
      </c>
      <c r="B42">
        <v>1</v>
      </c>
      <c r="C42">
        <v>0.95</v>
      </c>
      <c r="D42">
        <v>100</v>
      </c>
      <c r="E42">
        <f>AVERAGEIFS('Raw Data'!$N:$N,'Raw Data'!$B:$B,"gemini-2.0-flash-lite",'Raw Data'!$C:$C,"1.0",'Raw Data'!$D:$D,"0.95",'Raw Data'!$E:$E,"100")</f>
        <v>0</v>
      </c>
      <c r="F42">
        <f>AVERAGEIFS('Raw Data'!$J:$J,'Raw Data'!$B:$B,"gemini-2.0-flash-lite",'Raw Data'!$C:$C,"1.0",'Raw Data'!$D:$D,"0.95",'Raw Data'!$E:$E,"100")</f>
        <v>0</v>
      </c>
      <c r="G42">
        <f>AVERAGEIFS('Raw Data'!$K:$K,'Raw Data'!$B:$B,"gemini-2.0-flash-lite",'Raw Data'!$C:$C,"1.0",'Raw Data'!$D:$D,"0.95",'Raw Data'!$E:$E,"100")</f>
        <v>0</v>
      </c>
      <c r="H42">
        <f>AVERAGEIFS('Raw Data'!$O:$O,'Raw Data'!$B:$B,"gemini-2.0-flash-lite",'Raw Data'!$C:$C,"1.0",'Raw Data'!$D:$D,"0.95",'Raw Data'!$E:$E,"100")</f>
        <v>0</v>
      </c>
      <c r="I42">
        <f>A42 &amp; " (T:" &amp; B42 &amp; ", p:" &amp; C42 &amp; ", k:" &amp; D42 &amp; ")"</f>
        <v>0</v>
      </c>
      <c r="J42">
        <f>RANK.EQ(E42,$E$2:$E$37,0)</f>
        <v>0</v>
      </c>
      <c r="K42">
        <f>RANK.EQ(F42,$F$2:$F$37,1)</f>
        <v>0</v>
      </c>
      <c r="L42">
        <f>RANK.EQ(G42,$G$2:$G$37,1)</f>
        <v>0</v>
      </c>
      <c r="M42">
        <f>RANK.EQ(H42,$H$2:$H$37,1)</f>
        <v>0</v>
      </c>
      <c r="N42">
        <f>AVERAGE(J42,K42,L42,M42)</f>
        <v>0</v>
      </c>
      <c r="O42">
        <f>IF(N42=MIN($N$2:$N$37),"Yes","")</f>
        <v>0</v>
      </c>
      <c r="P42">
        <f>IF(N42=MINIFS($N$2:$N$37,$A$2:$A$37,A42),"Yes","")</f>
        <v>0</v>
      </c>
    </row>
    <row r="47" spans="1:16">
      <c r="A47" t="s">
        <v>15</v>
      </c>
      <c r="B47">
        <v>2</v>
      </c>
      <c r="C47">
        <v>0.1</v>
      </c>
      <c r="D47">
        <v>10</v>
      </c>
      <c r="E47">
        <f>AVERAGEIFS('Raw Data'!$N:$N,'Raw Data'!$B:$B,"gemini-2.0-flash-lite",'Raw Data'!$C:$C,"2.0",'Raw Data'!$D:$D,"0.1",'Raw Data'!$E:$E,"10")</f>
        <v>0</v>
      </c>
      <c r="F47">
        <f>AVERAGEIFS('Raw Data'!$J:$J,'Raw Data'!$B:$B,"gemini-2.0-flash-lite",'Raw Data'!$C:$C,"2.0",'Raw Data'!$D:$D,"0.1",'Raw Data'!$E:$E,"10")</f>
        <v>0</v>
      </c>
      <c r="G47">
        <f>AVERAGEIFS('Raw Data'!$K:$K,'Raw Data'!$B:$B,"gemini-2.0-flash-lite",'Raw Data'!$C:$C,"2.0",'Raw Data'!$D:$D,"0.1",'Raw Data'!$E:$E,"10")</f>
        <v>0</v>
      </c>
      <c r="H47">
        <f>AVERAGEIFS('Raw Data'!$O:$O,'Raw Data'!$B:$B,"gemini-2.0-flash-lite",'Raw Data'!$C:$C,"2.0",'Raw Data'!$D:$D,"0.1",'Raw Data'!$E:$E,"10")</f>
        <v>0</v>
      </c>
      <c r="I47">
        <f>A47 &amp; " (T:" &amp; B47 &amp; ", p:" &amp; C47 &amp; ", k:" &amp; D47 &amp; ")"</f>
        <v>0</v>
      </c>
      <c r="J47">
        <f>RANK.EQ(E47,$E$2:$E$37,0)</f>
        <v>0</v>
      </c>
      <c r="K47">
        <f>RANK.EQ(F47,$F$2:$F$37,1)</f>
        <v>0</v>
      </c>
      <c r="L47">
        <f>RANK.EQ(G47,$G$2:$G$37,1)</f>
        <v>0</v>
      </c>
      <c r="M47">
        <f>RANK.EQ(H47,$H$2:$H$37,1)</f>
        <v>0</v>
      </c>
      <c r="N47">
        <f>AVERAGE(J47,K47,L47,M47)</f>
        <v>0</v>
      </c>
      <c r="O47">
        <f>IF(N47=MIN($N$2:$N$37),"Yes","")</f>
        <v>0</v>
      </c>
      <c r="P47">
        <f>IF(N47=MINIFS($N$2:$N$37,$A$2:$A$37,A47),"Yes","")</f>
        <v>0</v>
      </c>
    </row>
    <row r="52" spans="1:16">
      <c r="A52" t="s">
        <v>15</v>
      </c>
      <c r="B52">
        <v>2</v>
      </c>
      <c r="C52">
        <v>0.5</v>
      </c>
      <c r="D52">
        <v>30</v>
      </c>
      <c r="E52">
        <f>AVERAGEIFS('Raw Data'!$N:$N,'Raw Data'!$B:$B,"gemini-2.0-flash-lite",'Raw Data'!$C:$C,"2.0",'Raw Data'!$D:$D,"0.5",'Raw Data'!$E:$E,"30")</f>
        <v>0</v>
      </c>
      <c r="F52">
        <f>AVERAGEIFS('Raw Data'!$J:$J,'Raw Data'!$B:$B,"gemini-2.0-flash-lite",'Raw Data'!$C:$C,"2.0",'Raw Data'!$D:$D,"0.5",'Raw Data'!$E:$E,"30")</f>
        <v>0</v>
      </c>
      <c r="G52">
        <f>AVERAGEIFS('Raw Data'!$K:$K,'Raw Data'!$B:$B,"gemini-2.0-flash-lite",'Raw Data'!$C:$C,"2.0",'Raw Data'!$D:$D,"0.5",'Raw Data'!$E:$E,"30")</f>
        <v>0</v>
      </c>
      <c r="H52">
        <f>AVERAGEIFS('Raw Data'!$O:$O,'Raw Data'!$B:$B,"gemini-2.0-flash-lite",'Raw Data'!$C:$C,"2.0",'Raw Data'!$D:$D,"0.5",'Raw Data'!$E:$E,"30")</f>
        <v>0</v>
      </c>
      <c r="I52">
        <f>A52 &amp; " (T:" &amp; B52 &amp; ", p:" &amp; C52 &amp; ", k:" &amp; D52 &amp; ")"</f>
        <v>0</v>
      </c>
      <c r="J52">
        <f>RANK.EQ(E52,$E$2:$E$37,0)</f>
        <v>0</v>
      </c>
      <c r="K52">
        <f>RANK.EQ(F52,$F$2:$F$37,1)</f>
        <v>0</v>
      </c>
      <c r="L52">
        <f>RANK.EQ(G52,$G$2:$G$37,1)</f>
        <v>0</v>
      </c>
      <c r="M52">
        <f>RANK.EQ(H52,$H$2:$H$37,1)</f>
        <v>0</v>
      </c>
      <c r="N52">
        <f>AVERAGE(J52,K52,L52,M52)</f>
        <v>0</v>
      </c>
      <c r="O52">
        <f>IF(N52=MIN($N$2:$N$37),"Yes","")</f>
        <v>0</v>
      </c>
      <c r="P52">
        <f>IF(N52=MINIFS($N$2:$N$37,$A$2:$A$37,A52),"Yes","")</f>
        <v>0</v>
      </c>
    </row>
    <row r="57" spans="1:16">
      <c r="A57" t="s">
        <v>15</v>
      </c>
      <c r="B57">
        <v>2</v>
      </c>
      <c r="C57">
        <v>0.95</v>
      </c>
      <c r="D57">
        <v>100</v>
      </c>
      <c r="E57">
        <f>AVERAGEIFS('Raw Data'!$N:$N,'Raw Data'!$B:$B,"gemini-2.0-flash-lite",'Raw Data'!$C:$C,"2.0",'Raw Data'!$D:$D,"0.95",'Raw Data'!$E:$E,"100")</f>
        <v>0</v>
      </c>
      <c r="F57">
        <f>AVERAGEIFS('Raw Data'!$J:$J,'Raw Data'!$B:$B,"gemini-2.0-flash-lite",'Raw Data'!$C:$C,"2.0",'Raw Data'!$D:$D,"0.95",'Raw Data'!$E:$E,"100")</f>
        <v>0</v>
      </c>
      <c r="G57">
        <f>AVERAGEIFS('Raw Data'!$K:$K,'Raw Data'!$B:$B,"gemini-2.0-flash-lite",'Raw Data'!$C:$C,"2.0",'Raw Data'!$D:$D,"0.95",'Raw Data'!$E:$E,"100")</f>
        <v>0</v>
      </c>
      <c r="H57">
        <f>AVERAGEIFS('Raw Data'!$O:$O,'Raw Data'!$B:$B,"gemini-2.0-flash-lite",'Raw Data'!$C:$C,"2.0",'Raw Data'!$D:$D,"0.95",'Raw Data'!$E:$E,"100")</f>
        <v>0</v>
      </c>
      <c r="I57">
        <f>A57 &amp; " (T:" &amp; B57 &amp; ", p:" &amp; C57 &amp; ", k:" &amp; D57 &amp; ")"</f>
        <v>0</v>
      </c>
      <c r="J57">
        <f>RANK.EQ(E57,$E$2:$E$37,0)</f>
        <v>0</v>
      </c>
      <c r="K57">
        <f>RANK.EQ(F57,$F$2:$F$37,1)</f>
        <v>0</v>
      </c>
      <c r="L57">
        <f>RANK.EQ(G57,$G$2:$G$37,1)</f>
        <v>0</v>
      </c>
      <c r="M57">
        <f>RANK.EQ(H57,$H$2:$H$37,1)</f>
        <v>0</v>
      </c>
      <c r="N57">
        <f>AVERAGE(J57,K57,L57,M57)</f>
        <v>0</v>
      </c>
      <c r="O57">
        <f>IF(N57=MIN($N$2:$N$37),"Yes","")</f>
        <v>0</v>
      </c>
      <c r="P57">
        <f>IF(N57=MINIFS($N$2:$N$37,$A$2:$A$37,A57),"Yes","")</f>
        <v>0</v>
      </c>
    </row>
    <row r="62" spans="1:16">
      <c r="A62" t="s">
        <v>106</v>
      </c>
      <c r="B62">
        <v>0</v>
      </c>
      <c r="C62">
        <v>0.1</v>
      </c>
      <c r="D62">
        <v>10</v>
      </c>
      <c r="E62">
        <f>AVERAGEIFS('Raw Data'!$N:$N,'Raw Data'!$B:$B,"gemini-2.0-flash",'Raw Data'!$C:$C,"0.0",'Raw Data'!$D:$D,"0.1",'Raw Data'!$E:$E,"10")</f>
        <v>0</v>
      </c>
      <c r="F62">
        <f>AVERAGEIFS('Raw Data'!$J:$J,'Raw Data'!$B:$B,"gemini-2.0-flash",'Raw Data'!$C:$C,"0.0",'Raw Data'!$D:$D,"0.1",'Raw Data'!$E:$E,"10")</f>
        <v>0</v>
      </c>
      <c r="G62">
        <f>AVERAGEIFS('Raw Data'!$K:$K,'Raw Data'!$B:$B,"gemini-2.0-flash",'Raw Data'!$C:$C,"0.0",'Raw Data'!$D:$D,"0.1",'Raw Data'!$E:$E,"10")</f>
        <v>0</v>
      </c>
      <c r="H62">
        <f>AVERAGEIFS('Raw Data'!$O:$O,'Raw Data'!$B:$B,"gemini-2.0-flash",'Raw Data'!$C:$C,"0.0",'Raw Data'!$D:$D,"0.1",'Raw Data'!$E:$E,"10")</f>
        <v>0</v>
      </c>
      <c r="I62">
        <f>A62 &amp; " (T:" &amp; B62 &amp; ", p:" &amp; C62 &amp; ", k:" &amp; D62 &amp; ")"</f>
        <v>0</v>
      </c>
      <c r="J62">
        <f>RANK.EQ(E62,$E$2:$E$37,0)</f>
        <v>0</v>
      </c>
      <c r="K62">
        <f>RANK.EQ(F62,$F$2:$F$37,1)</f>
        <v>0</v>
      </c>
      <c r="L62">
        <f>RANK.EQ(G62,$G$2:$G$37,1)</f>
        <v>0</v>
      </c>
      <c r="M62">
        <f>RANK.EQ(H62,$H$2:$H$37,1)</f>
        <v>0</v>
      </c>
      <c r="N62">
        <f>AVERAGE(J62,K62,L62,M62)</f>
        <v>0</v>
      </c>
      <c r="O62">
        <f>IF(N62=MIN($N$2:$N$37),"Yes","")</f>
        <v>0</v>
      </c>
      <c r="P62">
        <f>IF(N62=MINIFS($N$2:$N$37,$A$2:$A$37,A62),"Yes","")</f>
        <v>0</v>
      </c>
    </row>
    <row r="67" spans="1:16">
      <c r="A67" t="s">
        <v>106</v>
      </c>
      <c r="B67">
        <v>0</v>
      </c>
      <c r="C67">
        <v>0.5</v>
      </c>
      <c r="D67">
        <v>30</v>
      </c>
      <c r="E67">
        <f>AVERAGEIFS('Raw Data'!$N:$N,'Raw Data'!$B:$B,"gemini-2.0-flash",'Raw Data'!$C:$C,"0.0",'Raw Data'!$D:$D,"0.5",'Raw Data'!$E:$E,"30")</f>
        <v>0</v>
      </c>
      <c r="F67">
        <f>AVERAGEIFS('Raw Data'!$J:$J,'Raw Data'!$B:$B,"gemini-2.0-flash",'Raw Data'!$C:$C,"0.0",'Raw Data'!$D:$D,"0.5",'Raw Data'!$E:$E,"30")</f>
        <v>0</v>
      </c>
      <c r="G67">
        <f>AVERAGEIFS('Raw Data'!$K:$K,'Raw Data'!$B:$B,"gemini-2.0-flash",'Raw Data'!$C:$C,"0.0",'Raw Data'!$D:$D,"0.5",'Raw Data'!$E:$E,"30")</f>
        <v>0</v>
      </c>
      <c r="H67">
        <f>AVERAGEIFS('Raw Data'!$O:$O,'Raw Data'!$B:$B,"gemini-2.0-flash",'Raw Data'!$C:$C,"0.0",'Raw Data'!$D:$D,"0.5",'Raw Data'!$E:$E,"30")</f>
        <v>0</v>
      </c>
      <c r="I67">
        <f>A67 &amp; " (T:" &amp; B67 &amp; ", p:" &amp; C67 &amp; ", k:" &amp; D67 &amp; ")"</f>
        <v>0</v>
      </c>
      <c r="J67">
        <f>RANK.EQ(E67,$E$2:$E$37,0)</f>
        <v>0</v>
      </c>
      <c r="K67">
        <f>RANK.EQ(F67,$F$2:$F$37,1)</f>
        <v>0</v>
      </c>
      <c r="L67">
        <f>RANK.EQ(G67,$G$2:$G$37,1)</f>
        <v>0</v>
      </c>
      <c r="M67">
        <f>RANK.EQ(H67,$H$2:$H$37,1)</f>
        <v>0</v>
      </c>
      <c r="N67">
        <f>AVERAGE(J67,K67,L67,M67)</f>
        <v>0</v>
      </c>
      <c r="O67">
        <f>IF(N67=MIN($N$2:$N$37),"Yes","")</f>
        <v>0</v>
      </c>
      <c r="P67">
        <f>IF(N67=MINIFS($N$2:$N$37,$A$2:$A$37,A67),"Yes","")</f>
        <v>0</v>
      </c>
    </row>
    <row r="72" spans="1:16">
      <c r="A72" t="s">
        <v>106</v>
      </c>
      <c r="B72">
        <v>0</v>
      </c>
      <c r="C72">
        <v>0.95</v>
      </c>
      <c r="D72">
        <v>100</v>
      </c>
      <c r="E72">
        <f>AVERAGEIFS('Raw Data'!$N:$N,'Raw Data'!$B:$B,"gemini-2.0-flash",'Raw Data'!$C:$C,"0.0",'Raw Data'!$D:$D,"0.95",'Raw Data'!$E:$E,"100")</f>
        <v>0</v>
      </c>
      <c r="F72">
        <f>AVERAGEIFS('Raw Data'!$J:$J,'Raw Data'!$B:$B,"gemini-2.0-flash",'Raw Data'!$C:$C,"0.0",'Raw Data'!$D:$D,"0.95",'Raw Data'!$E:$E,"100")</f>
        <v>0</v>
      </c>
      <c r="G72">
        <f>AVERAGEIFS('Raw Data'!$K:$K,'Raw Data'!$B:$B,"gemini-2.0-flash",'Raw Data'!$C:$C,"0.0",'Raw Data'!$D:$D,"0.95",'Raw Data'!$E:$E,"100")</f>
        <v>0</v>
      </c>
      <c r="H72">
        <f>AVERAGEIFS('Raw Data'!$O:$O,'Raw Data'!$B:$B,"gemini-2.0-flash",'Raw Data'!$C:$C,"0.0",'Raw Data'!$D:$D,"0.95",'Raw Data'!$E:$E,"100")</f>
        <v>0</v>
      </c>
      <c r="I72">
        <f>A72 &amp; " (T:" &amp; B72 &amp; ", p:" &amp; C72 &amp; ", k:" &amp; D72 &amp; ")"</f>
        <v>0</v>
      </c>
      <c r="J72">
        <f>RANK.EQ(E72,$E$2:$E$37,0)</f>
        <v>0</v>
      </c>
      <c r="K72">
        <f>RANK.EQ(F72,$F$2:$F$37,1)</f>
        <v>0</v>
      </c>
      <c r="L72">
        <f>RANK.EQ(G72,$G$2:$G$37,1)</f>
        <v>0</v>
      </c>
      <c r="M72">
        <f>RANK.EQ(H72,$H$2:$H$37,1)</f>
        <v>0</v>
      </c>
      <c r="N72">
        <f>AVERAGE(J72,K72,L72,M72)</f>
        <v>0</v>
      </c>
      <c r="O72">
        <f>IF(N72=MIN($N$2:$N$37),"Yes","")</f>
        <v>0</v>
      </c>
      <c r="P72">
        <f>IF(N72=MINIFS($N$2:$N$37,$A$2:$A$37,A72),"Yes","")</f>
        <v>0</v>
      </c>
    </row>
    <row r="77" spans="1:16">
      <c r="A77" t="s">
        <v>106</v>
      </c>
      <c r="B77">
        <v>0.5</v>
      </c>
      <c r="C77">
        <v>0.1</v>
      </c>
      <c r="D77">
        <v>10</v>
      </c>
      <c r="E77">
        <f>AVERAGEIFS('Raw Data'!$N:$N,'Raw Data'!$B:$B,"gemini-2.0-flash",'Raw Data'!$C:$C,"0.5",'Raw Data'!$D:$D,"0.1",'Raw Data'!$E:$E,"10")</f>
        <v>0</v>
      </c>
      <c r="F77">
        <f>AVERAGEIFS('Raw Data'!$J:$J,'Raw Data'!$B:$B,"gemini-2.0-flash",'Raw Data'!$C:$C,"0.5",'Raw Data'!$D:$D,"0.1",'Raw Data'!$E:$E,"10")</f>
        <v>0</v>
      </c>
      <c r="G77">
        <f>AVERAGEIFS('Raw Data'!$K:$K,'Raw Data'!$B:$B,"gemini-2.0-flash",'Raw Data'!$C:$C,"0.5",'Raw Data'!$D:$D,"0.1",'Raw Data'!$E:$E,"10")</f>
        <v>0</v>
      </c>
      <c r="H77">
        <f>AVERAGEIFS('Raw Data'!$O:$O,'Raw Data'!$B:$B,"gemini-2.0-flash",'Raw Data'!$C:$C,"0.5",'Raw Data'!$D:$D,"0.1",'Raw Data'!$E:$E,"10")</f>
        <v>0</v>
      </c>
      <c r="I77">
        <f>A77 &amp; " (T:" &amp; B77 &amp; ", p:" &amp; C77 &amp; ", k:" &amp; D77 &amp; ")"</f>
        <v>0</v>
      </c>
      <c r="J77">
        <f>RANK.EQ(E77,$E$2:$E$37,0)</f>
        <v>0</v>
      </c>
      <c r="K77">
        <f>RANK.EQ(F77,$F$2:$F$37,1)</f>
        <v>0</v>
      </c>
      <c r="L77">
        <f>RANK.EQ(G77,$G$2:$G$37,1)</f>
        <v>0</v>
      </c>
      <c r="M77">
        <f>RANK.EQ(H77,$H$2:$H$37,1)</f>
        <v>0</v>
      </c>
      <c r="N77">
        <f>AVERAGE(J77,K77,L77,M77)</f>
        <v>0</v>
      </c>
      <c r="O77">
        <f>IF(N77=MIN($N$2:$N$37),"Yes","")</f>
        <v>0</v>
      </c>
      <c r="P77">
        <f>IF(N77=MINIFS($N$2:$N$37,$A$2:$A$37,A77),"Yes","")</f>
        <v>0</v>
      </c>
    </row>
    <row r="82" spans="1:16">
      <c r="A82" t="s">
        <v>106</v>
      </c>
      <c r="B82">
        <v>0.5</v>
      </c>
      <c r="C82">
        <v>0.5</v>
      </c>
      <c r="D82">
        <v>30</v>
      </c>
      <c r="E82">
        <f>AVERAGEIFS('Raw Data'!$N:$N,'Raw Data'!$B:$B,"gemini-2.0-flash",'Raw Data'!$C:$C,"0.5",'Raw Data'!$D:$D,"0.5",'Raw Data'!$E:$E,"30")</f>
        <v>0</v>
      </c>
      <c r="F82">
        <f>AVERAGEIFS('Raw Data'!$J:$J,'Raw Data'!$B:$B,"gemini-2.0-flash",'Raw Data'!$C:$C,"0.5",'Raw Data'!$D:$D,"0.5",'Raw Data'!$E:$E,"30")</f>
        <v>0</v>
      </c>
      <c r="G82">
        <f>AVERAGEIFS('Raw Data'!$K:$K,'Raw Data'!$B:$B,"gemini-2.0-flash",'Raw Data'!$C:$C,"0.5",'Raw Data'!$D:$D,"0.5",'Raw Data'!$E:$E,"30")</f>
        <v>0</v>
      </c>
      <c r="H82">
        <f>AVERAGEIFS('Raw Data'!$O:$O,'Raw Data'!$B:$B,"gemini-2.0-flash",'Raw Data'!$C:$C,"0.5",'Raw Data'!$D:$D,"0.5",'Raw Data'!$E:$E,"30")</f>
        <v>0</v>
      </c>
      <c r="I82">
        <f>A82 &amp; " (T:" &amp; B82 &amp; ", p:" &amp; C82 &amp; ", k:" &amp; D82 &amp; ")"</f>
        <v>0</v>
      </c>
      <c r="J82">
        <f>RANK.EQ(E82,$E$2:$E$37,0)</f>
        <v>0</v>
      </c>
      <c r="K82">
        <f>RANK.EQ(F82,$F$2:$F$37,1)</f>
        <v>0</v>
      </c>
      <c r="L82">
        <f>RANK.EQ(G82,$G$2:$G$37,1)</f>
        <v>0</v>
      </c>
      <c r="M82">
        <f>RANK.EQ(H82,$H$2:$H$37,1)</f>
        <v>0</v>
      </c>
      <c r="N82">
        <f>AVERAGE(J82,K82,L82,M82)</f>
        <v>0</v>
      </c>
      <c r="O82">
        <f>IF(N82=MIN($N$2:$N$37),"Yes","")</f>
        <v>0</v>
      </c>
      <c r="P82">
        <f>IF(N82=MINIFS($N$2:$N$37,$A$2:$A$37,A82),"Yes","")</f>
        <v>0</v>
      </c>
    </row>
    <row r="87" spans="1:16">
      <c r="A87" t="s">
        <v>106</v>
      </c>
      <c r="B87">
        <v>0.5</v>
      </c>
      <c r="C87">
        <v>0.95</v>
      </c>
      <c r="D87">
        <v>100</v>
      </c>
      <c r="E87">
        <f>AVERAGEIFS('Raw Data'!$N:$N,'Raw Data'!$B:$B,"gemini-2.0-flash",'Raw Data'!$C:$C,"0.5",'Raw Data'!$D:$D,"0.95",'Raw Data'!$E:$E,"100")</f>
        <v>0</v>
      </c>
      <c r="F87">
        <f>AVERAGEIFS('Raw Data'!$J:$J,'Raw Data'!$B:$B,"gemini-2.0-flash",'Raw Data'!$C:$C,"0.5",'Raw Data'!$D:$D,"0.95",'Raw Data'!$E:$E,"100")</f>
        <v>0</v>
      </c>
      <c r="G87">
        <f>AVERAGEIFS('Raw Data'!$K:$K,'Raw Data'!$B:$B,"gemini-2.0-flash",'Raw Data'!$C:$C,"0.5",'Raw Data'!$D:$D,"0.95",'Raw Data'!$E:$E,"100")</f>
        <v>0</v>
      </c>
      <c r="H87">
        <f>AVERAGEIFS('Raw Data'!$O:$O,'Raw Data'!$B:$B,"gemini-2.0-flash",'Raw Data'!$C:$C,"0.5",'Raw Data'!$D:$D,"0.95",'Raw Data'!$E:$E,"100")</f>
        <v>0</v>
      </c>
      <c r="I87">
        <f>A87 &amp; " (T:" &amp; B87 &amp; ", p:" &amp; C87 &amp; ", k:" &amp; D87 &amp; ")"</f>
        <v>0</v>
      </c>
      <c r="J87">
        <f>RANK.EQ(E87,$E$2:$E$37,0)</f>
        <v>0</v>
      </c>
      <c r="K87">
        <f>RANK.EQ(F87,$F$2:$F$37,1)</f>
        <v>0</v>
      </c>
      <c r="L87">
        <f>RANK.EQ(G87,$G$2:$G$37,1)</f>
        <v>0</v>
      </c>
      <c r="M87">
        <f>RANK.EQ(H87,$H$2:$H$37,1)</f>
        <v>0</v>
      </c>
      <c r="N87">
        <f>AVERAGE(J87,K87,L87,M87)</f>
        <v>0</v>
      </c>
      <c r="O87">
        <f>IF(N87=MIN($N$2:$N$37),"Yes","")</f>
        <v>0</v>
      </c>
      <c r="P87">
        <f>IF(N87=MINIFS($N$2:$N$37,$A$2:$A$37,A87),"Yes","")</f>
        <v>0</v>
      </c>
    </row>
    <row r="92" spans="1:16">
      <c r="A92" t="s">
        <v>106</v>
      </c>
      <c r="B92">
        <v>1</v>
      </c>
      <c r="C92">
        <v>0.1</v>
      </c>
      <c r="D92">
        <v>10</v>
      </c>
      <c r="E92">
        <f>AVERAGEIFS('Raw Data'!$N:$N,'Raw Data'!$B:$B,"gemini-2.0-flash",'Raw Data'!$C:$C,"1.0",'Raw Data'!$D:$D,"0.1",'Raw Data'!$E:$E,"10")</f>
        <v>0</v>
      </c>
      <c r="F92">
        <f>AVERAGEIFS('Raw Data'!$J:$J,'Raw Data'!$B:$B,"gemini-2.0-flash",'Raw Data'!$C:$C,"1.0",'Raw Data'!$D:$D,"0.1",'Raw Data'!$E:$E,"10")</f>
        <v>0</v>
      </c>
      <c r="G92">
        <f>AVERAGEIFS('Raw Data'!$K:$K,'Raw Data'!$B:$B,"gemini-2.0-flash",'Raw Data'!$C:$C,"1.0",'Raw Data'!$D:$D,"0.1",'Raw Data'!$E:$E,"10")</f>
        <v>0</v>
      </c>
      <c r="H92">
        <f>AVERAGEIFS('Raw Data'!$O:$O,'Raw Data'!$B:$B,"gemini-2.0-flash",'Raw Data'!$C:$C,"1.0",'Raw Data'!$D:$D,"0.1",'Raw Data'!$E:$E,"10")</f>
        <v>0</v>
      </c>
      <c r="I92">
        <f>A92 &amp; " (T:" &amp; B92 &amp; ", p:" &amp; C92 &amp; ", k:" &amp; D92 &amp; ")"</f>
        <v>0</v>
      </c>
      <c r="J92">
        <f>RANK.EQ(E92,$E$2:$E$37,0)</f>
        <v>0</v>
      </c>
      <c r="K92">
        <f>RANK.EQ(F92,$F$2:$F$37,1)</f>
        <v>0</v>
      </c>
      <c r="L92">
        <f>RANK.EQ(G92,$G$2:$G$37,1)</f>
        <v>0</v>
      </c>
      <c r="M92">
        <f>RANK.EQ(H92,$H$2:$H$37,1)</f>
        <v>0</v>
      </c>
      <c r="N92">
        <f>AVERAGE(J92,K92,L92,M92)</f>
        <v>0</v>
      </c>
      <c r="O92">
        <f>IF(N92=MIN($N$2:$N$37),"Yes","")</f>
        <v>0</v>
      </c>
      <c r="P92">
        <f>IF(N92=MINIFS($N$2:$N$37,$A$2:$A$37,A92),"Yes","")</f>
        <v>0</v>
      </c>
    </row>
    <row r="97" spans="1:16">
      <c r="A97" t="s">
        <v>106</v>
      </c>
      <c r="B97">
        <v>1</v>
      </c>
      <c r="C97">
        <v>0.5</v>
      </c>
      <c r="D97">
        <v>30</v>
      </c>
      <c r="E97">
        <f>AVERAGEIFS('Raw Data'!$N:$N,'Raw Data'!$B:$B,"gemini-2.0-flash",'Raw Data'!$C:$C,"1.0",'Raw Data'!$D:$D,"0.5",'Raw Data'!$E:$E,"30")</f>
        <v>0</v>
      </c>
      <c r="F97">
        <f>AVERAGEIFS('Raw Data'!$J:$J,'Raw Data'!$B:$B,"gemini-2.0-flash",'Raw Data'!$C:$C,"1.0",'Raw Data'!$D:$D,"0.5",'Raw Data'!$E:$E,"30")</f>
        <v>0</v>
      </c>
      <c r="G97">
        <f>AVERAGEIFS('Raw Data'!$K:$K,'Raw Data'!$B:$B,"gemini-2.0-flash",'Raw Data'!$C:$C,"1.0",'Raw Data'!$D:$D,"0.5",'Raw Data'!$E:$E,"30")</f>
        <v>0</v>
      </c>
      <c r="H97">
        <f>AVERAGEIFS('Raw Data'!$O:$O,'Raw Data'!$B:$B,"gemini-2.0-flash",'Raw Data'!$C:$C,"1.0",'Raw Data'!$D:$D,"0.5",'Raw Data'!$E:$E,"30")</f>
        <v>0</v>
      </c>
      <c r="I97">
        <f>A97 &amp; " (T:" &amp; B97 &amp; ", p:" &amp; C97 &amp; ", k:" &amp; D97 &amp; ")"</f>
        <v>0</v>
      </c>
      <c r="J97">
        <f>RANK.EQ(E97,$E$2:$E$37,0)</f>
        <v>0</v>
      </c>
      <c r="K97">
        <f>RANK.EQ(F97,$F$2:$F$37,1)</f>
        <v>0</v>
      </c>
      <c r="L97">
        <f>RANK.EQ(G97,$G$2:$G$37,1)</f>
        <v>0</v>
      </c>
      <c r="M97">
        <f>RANK.EQ(H97,$H$2:$H$37,1)</f>
        <v>0</v>
      </c>
      <c r="N97">
        <f>AVERAGE(J97,K97,L97,M97)</f>
        <v>0</v>
      </c>
      <c r="O97">
        <f>IF(N97=MIN($N$2:$N$37),"Yes","")</f>
        <v>0</v>
      </c>
      <c r="P97">
        <f>IF(N97=MINIFS($N$2:$N$37,$A$2:$A$37,A97),"Yes","")</f>
        <v>0</v>
      </c>
    </row>
    <row r="102" spans="1:16">
      <c r="A102" t="s">
        <v>106</v>
      </c>
      <c r="B102">
        <v>1</v>
      </c>
      <c r="C102">
        <v>0.95</v>
      </c>
      <c r="D102">
        <v>100</v>
      </c>
      <c r="E102">
        <f>AVERAGEIFS('Raw Data'!$N:$N,'Raw Data'!$B:$B,"gemini-2.0-flash",'Raw Data'!$C:$C,"1.0",'Raw Data'!$D:$D,"0.95",'Raw Data'!$E:$E,"100")</f>
        <v>0</v>
      </c>
      <c r="F102">
        <f>AVERAGEIFS('Raw Data'!$J:$J,'Raw Data'!$B:$B,"gemini-2.0-flash",'Raw Data'!$C:$C,"1.0",'Raw Data'!$D:$D,"0.95",'Raw Data'!$E:$E,"100")</f>
        <v>0</v>
      </c>
      <c r="G102">
        <f>AVERAGEIFS('Raw Data'!$K:$K,'Raw Data'!$B:$B,"gemini-2.0-flash",'Raw Data'!$C:$C,"1.0",'Raw Data'!$D:$D,"0.95",'Raw Data'!$E:$E,"100")</f>
        <v>0</v>
      </c>
      <c r="H102">
        <f>AVERAGEIFS('Raw Data'!$O:$O,'Raw Data'!$B:$B,"gemini-2.0-flash",'Raw Data'!$C:$C,"1.0",'Raw Data'!$D:$D,"0.95",'Raw Data'!$E:$E,"100")</f>
        <v>0</v>
      </c>
      <c r="I102">
        <f>A102 &amp; " (T:" &amp; B102 &amp; ", p:" &amp; C102 &amp; ", k:" &amp; D102 &amp; ")"</f>
        <v>0</v>
      </c>
      <c r="J102">
        <f>RANK.EQ(E102,$E$2:$E$37,0)</f>
        <v>0</v>
      </c>
      <c r="K102">
        <f>RANK.EQ(F102,$F$2:$F$37,1)</f>
        <v>0</v>
      </c>
      <c r="L102">
        <f>RANK.EQ(G102,$G$2:$G$37,1)</f>
        <v>0</v>
      </c>
      <c r="M102">
        <f>RANK.EQ(H102,$H$2:$H$37,1)</f>
        <v>0</v>
      </c>
      <c r="N102">
        <f>AVERAGE(J102,K102,L102,M102)</f>
        <v>0</v>
      </c>
      <c r="O102">
        <f>IF(N102=MIN($N$2:$N$37),"Yes","")</f>
        <v>0</v>
      </c>
      <c r="P102">
        <f>IF(N102=MINIFS($N$2:$N$37,$A$2:$A$37,A102),"Yes","")</f>
        <v>0</v>
      </c>
    </row>
    <row r="107" spans="1:16">
      <c r="A107" t="s">
        <v>106</v>
      </c>
      <c r="B107">
        <v>2</v>
      </c>
      <c r="C107">
        <v>0.1</v>
      </c>
      <c r="D107">
        <v>10</v>
      </c>
      <c r="E107">
        <f>AVERAGEIFS('Raw Data'!$N:$N,'Raw Data'!$B:$B,"gemini-2.0-flash",'Raw Data'!$C:$C,"2.0",'Raw Data'!$D:$D,"0.1",'Raw Data'!$E:$E,"10")</f>
        <v>0</v>
      </c>
      <c r="F107">
        <f>AVERAGEIFS('Raw Data'!$J:$J,'Raw Data'!$B:$B,"gemini-2.0-flash",'Raw Data'!$C:$C,"2.0",'Raw Data'!$D:$D,"0.1",'Raw Data'!$E:$E,"10")</f>
        <v>0</v>
      </c>
      <c r="G107">
        <f>AVERAGEIFS('Raw Data'!$K:$K,'Raw Data'!$B:$B,"gemini-2.0-flash",'Raw Data'!$C:$C,"2.0",'Raw Data'!$D:$D,"0.1",'Raw Data'!$E:$E,"10")</f>
        <v>0</v>
      </c>
      <c r="H107">
        <f>AVERAGEIFS('Raw Data'!$O:$O,'Raw Data'!$B:$B,"gemini-2.0-flash",'Raw Data'!$C:$C,"2.0",'Raw Data'!$D:$D,"0.1",'Raw Data'!$E:$E,"10")</f>
        <v>0</v>
      </c>
      <c r="I107">
        <f>A107 &amp; " (T:" &amp; B107 &amp; ", p:" &amp; C107 &amp; ", k:" &amp; D107 &amp; ")"</f>
        <v>0</v>
      </c>
      <c r="J107">
        <f>RANK.EQ(E107,$E$2:$E$37,0)</f>
        <v>0</v>
      </c>
      <c r="K107">
        <f>RANK.EQ(F107,$F$2:$F$37,1)</f>
        <v>0</v>
      </c>
      <c r="L107">
        <f>RANK.EQ(G107,$G$2:$G$37,1)</f>
        <v>0</v>
      </c>
      <c r="M107">
        <f>RANK.EQ(H107,$H$2:$H$37,1)</f>
        <v>0</v>
      </c>
      <c r="N107">
        <f>AVERAGE(J107,K107,L107,M107)</f>
        <v>0</v>
      </c>
      <c r="O107">
        <f>IF(N107=MIN($N$2:$N$37),"Yes","")</f>
        <v>0</v>
      </c>
      <c r="P107">
        <f>IF(N107=MINIFS($N$2:$N$37,$A$2:$A$37,A107),"Yes","")</f>
        <v>0</v>
      </c>
    </row>
    <row r="112" spans="1:16">
      <c r="A112" t="s">
        <v>106</v>
      </c>
      <c r="B112">
        <v>2</v>
      </c>
      <c r="C112">
        <v>0.5</v>
      </c>
      <c r="D112">
        <v>30</v>
      </c>
      <c r="E112">
        <f>AVERAGEIFS('Raw Data'!$N:$N,'Raw Data'!$B:$B,"gemini-2.0-flash",'Raw Data'!$C:$C,"2.0",'Raw Data'!$D:$D,"0.5",'Raw Data'!$E:$E,"30")</f>
        <v>0</v>
      </c>
      <c r="F112">
        <f>AVERAGEIFS('Raw Data'!$J:$J,'Raw Data'!$B:$B,"gemini-2.0-flash",'Raw Data'!$C:$C,"2.0",'Raw Data'!$D:$D,"0.5",'Raw Data'!$E:$E,"30")</f>
        <v>0</v>
      </c>
      <c r="G112">
        <f>AVERAGEIFS('Raw Data'!$K:$K,'Raw Data'!$B:$B,"gemini-2.0-flash",'Raw Data'!$C:$C,"2.0",'Raw Data'!$D:$D,"0.5",'Raw Data'!$E:$E,"30")</f>
        <v>0</v>
      </c>
      <c r="H112">
        <f>AVERAGEIFS('Raw Data'!$O:$O,'Raw Data'!$B:$B,"gemini-2.0-flash",'Raw Data'!$C:$C,"2.0",'Raw Data'!$D:$D,"0.5",'Raw Data'!$E:$E,"30")</f>
        <v>0</v>
      </c>
      <c r="I112">
        <f>A112 &amp; " (T:" &amp; B112 &amp; ", p:" &amp; C112 &amp; ", k:" &amp; D112 &amp; ")"</f>
        <v>0</v>
      </c>
      <c r="J112">
        <f>RANK.EQ(E112,$E$2:$E$37,0)</f>
        <v>0</v>
      </c>
      <c r="K112">
        <f>RANK.EQ(F112,$F$2:$F$37,1)</f>
        <v>0</v>
      </c>
      <c r="L112">
        <f>RANK.EQ(G112,$G$2:$G$37,1)</f>
        <v>0</v>
      </c>
      <c r="M112">
        <f>RANK.EQ(H112,$H$2:$H$37,1)</f>
        <v>0</v>
      </c>
      <c r="N112">
        <f>AVERAGE(J112,K112,L112,M112)</f>
        <v>0</v>
      </c>
      <c r="O112">
        <f>IF(N112=MIN($N$2:$N$37),"Yes","")</f>
        <v>0</v>
      </c>
      <c r="P112">
        <f>IF(N112=MINIFS($N$2:$N$37,$A$2:$A$37,A112),"Yes","")</f>
        <v>0</v>
      </c>
    </row>
    <row r="117" spans="1:16">
      <c r="A117" t="s">
        <v>106</v>
      </c>
      <c r="B117">
        <v>2</v>
      </c>
      <c r="C117">
        <v>0.95</v>
      </c>
      <c r="D117">
        <v>100</v>
      </c>
      <c r="E117">
        <f>AVERAGEIFS('Raw Data'!$N:$N,'Raw Data'!$B:$B,"gemini-2.0-flash",'Raw Data'!$C:$C,"2.0",'Raw Data'!$D:$D,"0.95",'Raw Data'!$E:$E,"100")</f>
        <v>0</v>
      </c>
      <c r="F117">
        <f>AVERAGEIFS('Raw Data'!$J:$J,'Raw Data'!$B:$B,"gemini-2.0-flash",'Raw Data'!$C:$C,"2.0",'Raw Data'!$D:$D,"0.95",'Raw Data'!$E:$E,"100")</f>
        <v>0</v>
      </c>
      <c r="G117">
        <f>AVERAGEIFS('Raw Data'!$K:$K,'Raw Data'!$B:$B,"gemini-2.0-flash",'Raw Data'!$C:$C,"2.0",'Raw Data'!$D:$D,"0.95",'Raw Data'!$E:$E,"100")</f>
        <v>0</v>
      </c>
      <c r="H117">
        <f>AVERAGEIFS('Raw Data'!$O:$O,'Raw Data'!$B:$B,"gemini-2.0-flash",'Raw Data'!$C:$C,"2.0",'Raw Data'!$D:$D,"0.95",'Raw Data'!$E:$E,"100")</f>
        <v>0</v>
      </c>
      <c r="I117">
        <f>A117 &amp; " (T:" &amp; B117 &amp; ", p:" &amp; C117 &amp; ", k:" &amp; D117 &amp; ")"</f>
        <v>0</v>
      </c>
      <c r="J117">
        <f>RANK.EQ(E117,$E$2:$E$37,0)</f>
        <v>0</v>
      </c>
      <c r="K117">
        <f>RANK.EQ(F117,$F$2:$F$37,1)</f>
        <v>0</v>
      </c>
      <c r="L117">
        <f>RANK.EQ(G117,$G$2:$G$37,1)</f>
        <v>0</v>
      </c>
      <c r="M117">
        <f>RANK.EQ(H117,$H$2:$H$37,1)</f>
        <v>0</v>
      </c>
      <c r="N117">
        <f>AVERAGE(J117,K117,L117,M117)</f>
        <v>0</v>
      </c>
      <c r="O117">
        <f>IF(N117=MIN($N$2:$N$37),"Yes","")</f>
        <v>0</v>
      </c>
      <c r="P117">
        <f>IF(N117=MINIFS($N$2:$N$37,$A$2:$A$37,A117),"Yes","")</f>
        <v>0</v>
      </c>
    </row>
    <row r="122" spans="1:16">
      <c r="A122" t="s">
        <v>151</v>
      </c>
      <c r="B122">
        <v>0</v>
      </c>
      <c r="C122">
        <v>0.1</v>
      </c>
      <c r="D122">
        <v>10</v>
      </c>
      <c r="E122">
        <f>AVERAGEIFS('Raw Data'!$N:$N,'Raw Data'!$B:$B,"gemini-2.0-pro-exp-02-05",'Raw Data'!$C:$C,"0.0",'Raw Data'!$D:$D,"0.1",'Raw Data'!$E:$E,"10")</f>
        <v>0</v>
      </c>
      <c r="F122">
        <f>AVERAGEIFS('Raw Data'!$J:$J,'Raw Data'!$B:$B,"gemini-2.0-pro-exp-02-05",'Raw Data'!$C:$C,"0.0",'Raw Data'!$D:$D,"0.1",'Raw Data'!$E:$E,"10")</f>
        <v>0</v>
      </c>
      <c r="G122">
        <f>AVERAGEIFS('Raw Data'!$K:$K,'Raw Data'!$B:$B,"gemini-2.0-pro-exp-02-05",'Raw Data'!$C:$C,"0.0",'Raw Data'!$D:$D,"0.1",'Raw Data'!$E:$E,"10")</f>
        <v>0</v>
      </c>
      <c r="H122">
        <f>AVERAGEIFS('Raw Data'!$O:$O,'Raw Data'!$B:$B,"gemini-2.0-pro-exp-02-05",'Raw Data'!$C:$C,"0.0",'Raw Data'!$D:$D,"0.1",'Raw Data'!$E:$E,"10")</f>
        <v>0</v>
      </c>
      <c r="I122">
        <f>A122 &amp; " (T:" &amp; B122 &amp; ", p:" &amp; C122 &amp; ", k:" &amp; D122 &amp; ")"</f>
        <v>0</v>
      </c>
      <c r="J122">
        <f>RANK.EQ(E122,$E$2:$E$37,0)</f>
        <v>0</v>
      </c>
      <c r="K122">
        <f>RANK.EQ(F122,$F$2:$F$37,1)</f>
        <v>0</v>
      </c>
      <c r="L122">
        <f>RANK.EQ(G122,$G$2:$G$37,1)</f>
        <v>0</v>
      </c>
      <c r="M122">
        <f>RANK.EQ(H122,$H$2:$H$37,1)</f>
        <v>0</v>
      </c>
      <c r="N122">
        <f>AVERAGE(J122,K122,L122,M122)</f>
        <v>0</v>
      </c>
      <c r="O122">
        <f>IF(N122=MIN($N$2:$N$37),"Yes","")</f>
        <v>0</v>
      </c>
      <c r="P122">
        <f>IF(N122=MINIFS($N$2:$N$37,$A$2:$A$37,A122),"Yes","")</f>
        <v>0</v>
      </c>
    </row>
    <row r="127" spans="1:16">
      <c r="A127" t="s">
        <v>151</v>
      </c>
      <c r="B127">
        <v>0</v>
      </c>
      <c r="C127">
        <v>0.5</v>
      </c>
      <c r="D127">
        <v>30</v>
      </c>
      <c r="E127">
        <f>AVERAGEIFS('Raw Data'!$N:$N,'Raw Data'!$B:$B,"gemini-2.0-pro-exp-02-05",'Raw Data'!$C:$C,"0.0",'Raw Data'!$D:$D,"0.5",'Raw Data'!$E:$E,"30")</f>
        <v>0</v>
      </c>
      <c r="F127">
        <f>AVERAGEIFS('Raw Data'!$J:$J,'Raw Data'!$B:$B,"gemini-2.0-pro-exp-02-05",'Raw Data'!$C:$C,"0.0",'Raw Data'!$D:$D,"0.5",'Raw Data'!$E:$E,"30")</f>
        <v>0</v>
      </c>
      <c r="G127">
        <f>AVERAGEIFS('Raw Data'!$K:$K,'Raw Data'!$B:$B,"gemini-2.0-pro-exp-02-05",'Raw Data'!$C:$C,"0.0",'Raw Data'!$D:$D,"0.5",'Raw Data'!$E:$E,"30")</f>
        <v>0</v>
      </c>
      <c r="H127">
        <f>AVERAGEIFS('Raw Data'!$O:$O,'Raw Data'!$B:$B,"gemini-2.0-pro-exp-02-05",'Raw Data'!$C:$C,"0.0",'Raw Data'!$D:$D,"0.5",'Raw Data'!$E:$E,"30")</f>
        <v>0</v>
      </c>
      <c r="I127">
        <f>A127 &amp; " (T:" &amp; B127 &amp; ", p:" &amp; C127 &amp; ", k:" &amp; D127 &amp; ")"</f>
        <v>0</v>
      </c>
      <c r="J127">
        <f>RANK.EQ(E127,$E$2:$E$37,0)</f>
        <v>0</v>
      </c>
      <c r="K127">
        <f>RANK.EQ(F127,$F$2:$F$37,1)</f>
        <v>0</v>
      </c>
      <c r="L127">
        <f>RANK.EQ(G127,$G$2:$G$37,1)</f>
        <v>0</v>
      </c>
      <c r="M127">
        <f>RANK.EQ(H127,$H$2:$H$37,1)</f>
        <v>0</v>
      </c>
      <c r="N127">
        <f>AVERAGE(J127,K127,L127,M127)</f>
        <v>0</v>
      </c>
      <c r="O127">
        <f>IF(N127=MIN($N$2:$N$37),"Yes","")</f>
        <v>0</v>
      </c>
      <c r="P127">
        <f>IF(N127=MINIFS($N$2:$N$37,$A$2:$A$37,A127),"Yes","")</f>
        <v>0</v>
      </c>
    </row>
    <row r="132" spans="1:16">
      <c r="A132" t="s">
        <v>151</v>
      </c>
      <c r="B132">
        <v>0</v>
      </c>
      <c r="C132">
        <v>0.95</v>
      </c>
      <c r="D132">
        <v>100</v>
      </c>
      <c r="E132">
        <f>AVERAGEIFS('Raw Data'!$N:$N,'Raw Data'!$B:$B,"gemini-2.0-pro-exp-02-05",'Raw Data'!$C:$C,"0.0",'Raw Data'!$D:$D,"0.95",'Raw Data'!$E:$E,"100")</f>
        <v>0</v>
      </c>
      <c r="F132">
        <f>AVERAGEIFS('Raw Data'!$J:$J,'Raw Data'!$B:$B,"gemini-2.0-pro-exp-02-05",'Raw Data'!$C:$C,"0.0",'Raw Data'!$D:$D,"0.95",'Raw Data'!$E:$E,"100")</f>
        <v>0</v>
      </c>
      <c r="G132">
        <f>AVERAGEIFS('Raw Data'!$K:$K,'Raw Data'!$B:$B,"gemini-2.0-pro-exp-02-05",'Raw Data'!$C:$C,"0.0",'Raw Data'!$D:$D,"0.95",'Raw Data'!$E:$E,"100")</f>
        <v>0</v>
      </c>
      <c r="H132">
        <f>AVERAGEIFS('Raw Data'!$O:$O,'Raw Data'!$B:$B,"gemini-2.0-pro-exp-02-05",'Raw Data'!$C:$C,"0.0",'Raw Data'!$D:$D,"0.95",'Raw Data'!$E:$E,"100")</f>
        <v>0</v>
      </c>
      <c r="I132">
        <f>A132 &amp; " (T:" &amp; B132 &amp; ", p:" &amp; C132 &amp; ", k:" &amp; D132 &amp; ")"</f>
        <v>0</v>
      </c>
      <c r="J132">
        <f>RANK.EQ(E132,$E$2:$E$37,0)</f>
        <v>0</v>
      </c>
      <c r="K132">
        <f>RANK.EQ(F132,$F$2:$F$37,1)</f>
        <v>0</v>
      </c>
      <c r="L132">
        <f>RANK.EQ(G132,$G$2:$G$37,1)</f>
        <v>0</v>
      </c>
      <c r="M132">
        <f>RANK.EQ(H132,$H$2:$H$37,1)</f>
        <v>0</v>
      </c>
      <c r="N132">
        <f>AVERAGE(J132,K132,L132,M132)</f>
        <v>0</v>
      </c>
      <c r="O132">
        <f>IF(N132=MIN($N$2:$N$37),"Yes","")</f>
        <v>0</v>
      </c>
      <c r="P132">
        <f>IF(N132=MINIFS($N$2:$N$37,$A$2:$A$37,A132),"Yes","")</f>
        <v>0</v>
      </c>
    </row>
    <row r="137" spans="1:16">
      <c r="A137" t="s">
        <v>151</v>
      </c>
      <c r="B137">
        <v>0.5</v>
      </c>
      <c r="C137">
        <v>0.1</v>
      </c>
      <c r="D137">
        <v>10</v>
      </c>
      <c r="E137">
        <f>AVERAGEIFS('Raw Data'!$N:$N,'Raw Data'!$B:$B,"gemini-2.0-pro-exp-02-05",'Raw Data'!$C:$C,"0.5",'Raw Data'!$D:$D,"0.1",'Raw Data'!$E:$E,"10")</f>
        <v>0</v>
      </c>
      <c r="F137">
        <f>AVERAGEIFS('Raw Data'!$J:$J,'Raw Data'!$B:$B,"gemini-2.0-pro-exp-02-05",'Raw Data'!$C:$C,"0.5",'Raw Data'!$D:$D,"0.1",'Raw Data'!$E:$E,"10")</f>
        <v>0</v>
      </c>
      <c r="G137">
        <f>AVERAGEIFS('Raw Data'!$K:$K,'Raw Data'!$B:$B,"gemini-2.0-pro-exp-02-05",'Raw Data'!$C:$C,"0.5",'Raw Data'!$D:$D,"0.1",'Raw Data'!$E:$E,"10")</f>
        <v>0</v>
      </c>
      <c r="H137">
        <f>AVERAGEIFS('Raw Data'!$O:$O,'Raw Data'!$B:$B,"gemini-2.0-pro-exp-02-05",'Raw Data'!$C:$C,"0.5",'Raw Data'!$D:$D,"0.1",'Raw Data'!$E:$E,"10")</f>
        <v>0</v>
      </c>
      <c r="I137">
        <f>A137 &amp; " (T:" &amp; B137 &amp; ", p:" &amp; C137 &amp; ", k:" &amp; D137 &amp; ")"</f>
        <v>0</v>
      </c>
      <c r="J137">
        <f>RANK.EQ(E137,$E$2:$E$37,0)</f>
        <v>0</v>
      </c>
      <c r="K137">
        <f>RANK.EQ(F137,$F$2:$F$37,1)</f>
        <v>0</v>
      </c>
      <c r="L137">
        <f>RANK.EQ(G137,$G$2:$G$37,1)</f>
        <v>0</v>
      </c>
      <c r="M137">
        <f>RANK.EQ(H137,$H$2:$H$37,1)</f>
        <v>0</v>
      </c>
      <c r="N137">
        <f>AVERAGE(J137,K137,L137,M137)</f>
        <v>0</v>
      </c>
      <c r="O137">
        <f>IF(N137=MIN($N$2:$N$37),"Yes","")</f>
        <v>0</v>
      </c>
      <c r="P137">
        <f>IF(N137=MINIFS($N$2:$N$37,$A$2:$A$37,A137),"Yes","")</f>
        <v>0</v>
      </c>
    </row>
    <row r="142" spans="1:16">
      <c r="A142" t="s">
        <v>151</v>
      </c>
      <c r="B142">
        <v>0.5</v>
      </c>
      <c r="C142">
        <v>0.5</v>
      </c>
      <c r="D142">
        <v>30</v>
      </c>
      <c r="E142">
        <f>AVERAGEIFS('Raw Data'!$N:$N,'Raw Data'!$B:$B,"gemini-2.0-pro-exp-02-05",'Raw Data'!$C:$C,"0.5",'Raw Data'!$D:$D,"0.5",'Raw Data'!$E:$E,"30")</f>
        <v>0</v>
      </c>
      <c r="F142">
        <f>AVERAGEIFS('Raw Data'!$J:$J,'Raw Data'!$B:$B,"gemini-2.0-pro-exp-02-05",'Raw Data'!$C:$C,"0.5",'Raw Data'!$D:$D,"0.5",'Raw Data'!$E:$E,"30")</f>
        <v>0</v>
      </c>
      <c r="G142">
        <f>AVERAGEIFS('Raw Data'!$K:$K,'Raw Data'!$B:$B,"gemini-2.0-pro-exp-02-05",'Raw Data'!$C:$C,"0.5",'Raw Data'!$D:$D,"0.5",'Raw Data'!$E:$E,"30")</f>
        <v>0</v>
      </c>
      <c r="H142">
        <f>AVERAGEIFS('Raw Data'!$O:$O,'Raw Data'!$B:$B,"gemini-2.0-pro-exp-02-05",'Raw Data'!$C:$C,"0.5",'Raw Data'!$D:$D,"0.5",'Raw Data'!$E:$E,"30")</f>
        <v>0</v>
      </c>
      <c r="I142">
        <f>A142 &amp; " (T:" &amp; B142 &amp; ", p:" &amp; C142 &amp; ", k:" &amp; D142 &amp; ")"</f>
        <v>0</v>
      </c>
      <c r="J142">
        <f>RANK.EQ(E142,$E$2:$E$37,0)</f>
        <v>0</v>
      </c>
      <c r="K142">
        <f>RANK.EQ(F142,$F$2:$F$37,1)</f>
        <v>0</v>
      </c>
      <c r="L142">
        <f>RANK.EQ(G142,$G$2:$G$37,1)</f>
        <v>0</v>
      </c>
      <c r="M142">
        <f>RANK.EQ(H142,$H$2:$H$37,1)</f>
        <v>0</v>
      </c>
      <c r="N142">
        <f>AVERAGE(J142,K142,L142,M142)</f>
        <v>0</v>
      </c>
      <c r="O142">
        <f>IF(N142=MIN($N$2:$N$37),"Yes","")</f>
        <v>0</v>
      </c>
      <c r="P142">
        <f>IF(N142=MINIFS($N$2:$N$37,$A$2:$A$37,A142),"Yes","")</f>
        <v>0</v>
      </c>
    </row>
    <row r="147" spans="1:16">
      <c r="A147" t="s">
        <v>151</v>
      </c>
      <c r="B147">
        <v>0.5</v>
      </c>
      <c r="C147">
        <v>0.95</v>
      </c>
      <c r="D147">
        <v>100</v>
      </c>
      <c r="E147">
        <f>AVERAGEIFS('Raw Data'!$N:$N,'Raw Data'!$B:$B,"gemini-2.0-pro-exp-02-05",'Raw Data'!$C:$C,"0.5",'Raw Data'!$D:$D,"0.95",'Raw Data'!$E:$E,"100")</f>
        <v>0</v>
      </c>
      <c r="F147">
        <f>AVERAGEIFS('Raw Data'!$J:$J,'Raw Data'!$B:$B,"gemini-2.0-pro-exp-02-05",'Raw Data'!$C:$C,"0.5",'Raw Data'!$D:$D,"0.95",'Raw Data'!$E:$E,"100")</f>
        <v>0</v>
      </c>
      <c r="G147">
        <f>AVERAGEIFS('Raw Data'!$K:$K,'Raw Data'!$B:$B,"gemini-2.0-pro-exp-02-05",'Raw Data'!$C:$C,"0.5",'Raw Data'!$D:$D,"0.95",'Raw Data'!$E:$E,"100")</f>
        <v>0</v>
      </c>
      <c r="H147">
        <f>AVERAGEIFS('Raw Data'!$O:$O,'Raw Data'!$B:$B,"gemini-2.0-pro-exp-02-05",'Raw Data'!$C:$C,"0.5",'Raw Data'!$D:$D,"0.95",'Raw Data'!$E:$E,"100")</f>
        <v>0</v>
      </c>
      <c r="I147">
        <f>A147 &amp; " (T:" &amp; B147 &amp; ", p:" &amp; C147 &amp; ", k:" &amp; D147 &amp; ")"</f>
        <v>0</v>
      </c>
      <c r="J147">
        <f>RANK.EQ(E147,$E$2:$E$37,0)</f>
        <v>0</v>
      </c>
      <c r="K147">
        <f>RANK.EQ(F147,$F$2:$F$37,1)</f>
        <v>0</v>
      </c>
      <c r="L147">
        <f>RANK.EQ(G147,$G$2:$G$37,1)</f>
        <v>0</v>
      </c>
      <c r="M147">
        <f>RANK.EQ(H147,$H$2:$H$37,1)</f>
        <v>0</v>
      </c>
      <c r="N147">
        <f>AVERAGE(J147,K147,L147,M147)</f>
        <v>0</v>
      </c>
      <c r="O147">
        <f>IF(N147=MIN($N$2:$N$37),"Yes","")</f>
        <v>0</v>
      </c>
      <c r="P147">
        <f>IF(N147=MINIFS($N$2:$N$37,$A$2:$A$37,A147),"Yes","")</f>
        <v>0</v>
      </c>
    </row>
    <row r="152" spans="1:16">
      <c r="A152" t="s">
        <v>151</v>
      </c>
      <c r="B152">
        <v>1</v>
      </c>
      <c r="C152">
        <v>0.1</v>
      </c>
      <c r="D152">
        <v>10</v>
      </c>
      <c r="E152">
        <f>AVERAGEIFS('Raw Data'!$N:$N,'Raw Data'!$B:$B,"gemini-2.0-pro-exp-02-05",'Raw Data'!$C:$C,"1.0",'Raw Data'!$D:$D,"0.1",'Raw Data'!$E:$E,"10")</f>
        <v>0</v>
      </c>
      <c r="F152">
        <f>AVERAGEIFS('Raw Data'!$J:$J,'Raw Data'!$B:$B,"gemini-2.0-pro-exp-02-05",'Raw Data'!$C:$C,"1.0",'Raw Data'!$D:$D,"0.1",'Raw Data'!$E:$E,"10")</f>
        <v>0</v>
      </c>
      <c r="G152">
        <f>AVERAGEIFS('Raw Data'!$K:$K,'Raw Data'!$B:$B,"gemini-2.0-pro-exp-02-05",'Raw Data'!$C:$C,"1.0",'Raw Data'!$D:$D,"0.1",'Raw Data'!$E:$E,"10")</f>
        <v>0</v>
      </c>
      <c r="H152">
        <f>AVERAGEIFS('Raw Data'!$O:$O,'Raw Data'!$B:$B,"gemini-2.0-pro-exp-02-05",'Raw Data'!$C:$C,"1.0",'Raw Data'!$D:$D,"0.1",'Raw Data'!$E:$E,"10")</f>
        <v>0</v>
      </c>
      <c r="I152">
        <f>A152 &amp; " (T:" &amp; B152 &amp; ", p:" &amp; C152 &amp; ", k:" &amp; D152 &amp; ")"</f>
        <v>0</v>
      </c>
      <c r="J152">
        <f>RANK.EQ(E152,$E$2:$E$37,0)</f>
        <v>0</v>
      </c>
      <c r="K152">
        <f>RANK.EQ(F152,$F$2:$F$37,1)</f>
        <v>0</v>
      </c>
      <c r="L152">
        <f>RANK.EQ(G152,$G$2:$G$37,1)</f>
        <v>0</v>
      </c>
      <c r="M152">
        <f>RANK.EQ(H152,$H$2:$H$37,1)</f>
        <v>0</v>
      </c>
      <c r="N152">
        <f>AVERAGE(J152,K152,L152,M152)</f>
        <v>0</v>
      </c>
      <c r="O152">
        <f>IF(N152=MIN($N$2:$N$37),"Yes","")</f>
        <v>0</v>
      </c>
      <c r="P152">
        <f>IF(N152=MINIFS($N$2:$N$37,$A$2:$A$37,A152),"Yes","")</f>
        <v>0</v>
      </c>
    </row>
    <row r="157" spans="1:16">
      <c r="A157" t="s">
        <v>151</v>
      </c>
      <c r="B157">
        <v>1</v>
      </c>
      <c r="C157">
        <v>0.5</v>
      </c>
      <c r="D157">
        <v>30</v>
      </c>
      <c r="E157">
        <f>AVERAGEIFS('Raw Data'!$N:$N,'Raw Data'!$B:$B,"gemini-2.0-pro-exp-02-05",'Raw Data'!$C:$C,"1.0",'Raw Data'!$D:$D,"0.5",'Raw Data'!$E:$E,"30")</f>
        <v>0</v>
      </c>
      <c r="F157">
        <f>AVERAGEIFS('Raw Data'!$J:$J,'Raw Data'!$B:$B,"gemini-2.0-pro-exp-02-05",'Raw Data'!$C:$C,"1.0",'Raw Data'!$D:$D,"0.5",'Raw Data'!$E:$E,"30")</f>
        <v>0</v>
      </c>
      <c r="G157">
        <f>AVERAGEIFS('Raw Data'!$K:$K,'Raw Data'!$B:$B,"gemini-2.0-pro-exp-02-05",'Raw Data'!$C:$C,"1.0",'Raw Data'!$D:$D,"0.5",'Raw Data'!$E:$E,"30")</f>
        <v>0</v>
      </c>
      <c r="H157">
        <f>AVERAGEIFS('Raw Data'!$O:$O,'Raw Data'!$B:$B,"gemini-2.0-pro-exp-02-05",'Raw Data'!$C:$C,"1.0",'Raw Data'!$D:$D,"0.5",'Raw Data'!$E:$E,"30")</f>
        <v>0</v>
      </c>
      <c r="I157">
        <f>A157 &amp; " (T:" &amp; B157 &amp; ", p:" &amp; C157 &amp; ", k:" &amp; D157 &amp; ")"</f>
        <v>0</v>
      </c>
      <c r="J157">
        <f>RANK.EQ(E157,$E$2:$E$37,0)</f>
        <v>0</v>
      </c>
      <c r="K157">
        <f>RANK.EQ(F157,$F$2:$F$37,1)</f>
        <v>0</v>
      </c>
      <c r="L157">
        <f>RANK.EQ(G157,$G$2:$G$37,1)</f>
        <v>0</v>
      </c>
      <c r="M157">
        <f>RANK.EQ(H157,$H$2:$H$37,1)</f>
        <v>0</v>
      </c>
      <c r="N157">
        <f>AVERAGE(J157,K157,L157,M157)</f>
        <v>0</v>
      </c>
      <c r="O157">
        <f>IF(N157=MIN($N$2:$N$37),"Yes","")</f>
        <v>0</v>
      </c>
      <c r="P157">
        <f>IF(N157=MINIFS($N$2:$N$37,$A$2:$A$37,A157),"Yes","")</f>
        <v>0</v>
      </c>
    </row>
    <row r="162" spans="1:16">
      <c r="A162" t="s">
        <v>151</v>
      </c>
      <c r="B162">
        <v>1</v>
      </c>
      <c r="C162">
        <v>0.95</v>
      </c>
      <c r="D162">
        <v>100</v>
      </c>
      <c r="E162">
        <f>AVERAGEIFS('Raw Data'!$N:$N,'Raw Data'!$B:$B,"gemini-2.0-pro-exp-02-05",'Raw Data'!$C:$C,"1.0",'Raw Data'!$D:$D,"0.95",'Raw Data'!$E:$E,"100")</f>
        <v>0</v>
      </c>
      <c r="F162">
        <f>AVERAGEIFS('Raw Data'!$J:$J,'Raw Data'!$B:$B,"gemini-2.0-pro-exp-02-05",'Raw Data'!$C:$C,"1.0",'Raw Data'!$D:$D,"0.95",'Raw Data'!$E:$E,"100")</f>
        <v>0</v>
      </c>
      <c r="G162">
        <f>AVERAGEIFS('Raw Data'!$K:$K,'Raw Data'!$B:$B,"gemini-2.0-pro-exp-02-05",'Raw Data'!$C:$C,"1.0",'Raw Data'!$D:$D,"0.95",'Raw Data'!$E:$E,"100")</f>
        <v>0</v>
      </c>
      <c r="H162">
        <f>AVERAGEIFS('Raw Data'!$O:$O,'Raw Data'!$B:$B,"gemini-2.0-pro-exp-02-05",'Raw Data'!$C:$C,"1.0",'Raw Data'!$D:$D,"0.95",'Raw Data'!$E:$E,"100")</f>
        <v>0</v>
      </c>
      <c r="I162">
        <f>A162 &amp; " (T:" &amp; B162 &amp; ", p:" &amp; C162 &amp; ", k:" &amp; D162 &amp; ")"</f>
        <v>0</v>
      </c>
      <c r="J162">
        <f>RANK.EQ(E162,$E$2:$E$37,0)</f>
        <v>0</v>
      </c>
      <c r="K162">
        <f>RANK.EQ(F162,$F$2:$F$37,1)</f>
        <v>0</v>
      </c>
      <c r="L162">
        <f>RANK.EQ(G162,$G$2:$G$37,1)</f>
        <v>0</v>
      </c>
      <c r="M162">
        <f>RANK.EQ(H162,$H$2:$H$37,1)</f>
        <v>0</v>
      </c>
      <c r="N162">
        <f>AVERAGE(J162,K162,L162,M162)</f>
        <v>0</v>
      </c>
      <c r="O162">
        <f>IF(N162=MIN($N$2:$N$37),"Yes","")</f>
        <v>0</v>
      </c>
      <c r="P162">
        <f>IF(N162=MINIFS($N$2:$N$37,$A$2:$A$37,A162),"Yes","")</f>
        <v>0</v>
      </c>
    </row>
    <row r="167" spans="1:16">
      <c r="A167" t="s">
        <v>151</v>
      </c>
      <c r="B167">
        <v>2</v>
      </c>
      <c r="C167">
        <v>0.1</v>
      </c>
      <c r="D167">
        <v>10</v>
      </c>
      <c r="E167">
        <f>AVERAGEIFS('Raw Data'!$N:$N,'Raw Data'!$B:$B,"gemini-2.0-pro-exp-02-05",'Raw Data'!$C:$C,"2.0",'Raw Data'!$D:$D,"0.1",'Raw Data'!$E:$E,"10")</f>
        <v>0</v>
      </c>
      <c r="F167">
        <f>AVERAGEIFS('Raw Data'!$J:$J,'Raw Data'!$B:$B,"gemini-2.0-pro-exp-02-05",'Raw Data'!$C:$C,"2.0",'Raw Data'!$D:$D,"0.1",'Raw Data'!$E:$E,"10")</f>
        <v>0</v>
      </c>
      <c r="G167">
        <f>AVERAGEIFS('Raw Data'!$K:$K,'Raw Data'!$B:$B,"gemini-2.0-pro-exp-02-05",'Raw Data'!$C:$C,"2.0",'Raw Data'!$D:$D,"0.1",'Raw Data'!$E:$E,"10")</f>
        <v>0</v>
      </c>
      <c r="H167">
        <f>AVERAGEIFS('Raw Data'!$O:$O,'Raw Data'!$B:$B,"gemini-2.0-pro-exp-02-05",'Raw Data'!$C:$C,"2.0",'Raw Data'!$D:$D,"0.1",'Raw Data'!$E:$E,"10")</f>
        <v>0</v>
      </c>
      <c r="I167">
        <f>A167 &amp; " (T:" &amp; B167 &amp; ", p:" &amp; C167 &amp; ", k:" &amp; D167 &amp; ")"</f>
        <v>0</v>
      </c>
      <c r="J167">
        <f>RANK.EQ(E167,$E$2:$E$37,0)</f>
        <v>0</v>
      </c>
      <c r="K167">
        <f>RANK.EQ(F167,$F$2:$F$37,1)</f>
        <v>0</v>
      </c>
      <c r="L167">
        <f>RANK.EQ(G167,$G$2:$G$37,1)</f>
        <v>0</v>
      </c>
      <c r="M167">
        <f>RANK.EQ(H167,$H$2:$H$37,1)</f>
        <v>0</v>
      </c>
      <c r="N167">
        <f>AVERAGE(J167,K167,L167,M167)</f>
        <v>0</v>
      </c>
      <c r="O167">
        <f>IF(N167=MIN($N$2:$N$37),"Yes","")</f>
        <v>0</v>
      </c>
      <c r="P167">
        <f>IF(N167=MINIFS($N$2:$N$37,$A$2:$A$37,A167),"Yes","")</f>
        <v>0</v>
      </c>
    </row>
    <row r="172" spans="1:16">
      <c r="A172" t="s">
        <v>151</v>
      </c>
      <c r="B172">
        <v>2</v>
      </c>
      <c r="C172">
        <v>0.5</v>
      </c>
      <c r="D172">
        <v>30</v>
      </c>
      <c r="E172">
        <f>AVERAGEIFS('Raw Data'!$N:$N,'Raw Data'!$B:$B,"gemini-2.0-pro-exp-02-05",'Raw Data'!$C:$C,"2.0",'Raw Data'!$D:$D,"0.5",'Raw Data'!$E:$E,"30")</f>
        <v>0</v>
      </c>
      <c r="F172">
        <f>AVERAGEIFS('Raw Data'!$J:$J,'Raw Data'!$B:$B,"gemini-2.0-pro-exp-02-05",'Raw Data'!$C:$C,"2.0",'Raw Data'!$D:$D,"0.5",'Raw Data'!$E:$E,"30")</f>
        <v>0</v>
      </c>
      <c r="G172">
        <f>AVERAGEIFS('Raw Data'!$K:$K,'Raw Data'!$B:$B,"gemini-2.0-pro-exp-02-05",'Raw Data'!$C:$C,"2.0",'Raw Data'!$D:$D,"0.5",'Raw Data'!$E:$E,"30")</f>
        <v>0</v>
      </c>
      <c r="H172">
        <f>AVERAGEIFS('Raw Data'!$O:$O,'Raw Data'!$B:$B,"gemini-2.0-pro-exp-02-05",'Raw Data'!$C:$C,"2.0",'Raw Data'!$D:$D,"0.5",'Raw Data'!$E:$E,"30")</f>
        <v>0</v>
      </c>
      <c r="I172">
        <f>A172 &amp; " (T:" &amp; B172 &amp; ", p:" &amp; C172 &amp; ", k:" &amp; D172 &amp; ")"</f>
        <v>0</v>
      </c>
      <c r="J172">
        <f>RANK.EQ(E172,$E$2:$E$37,0)</f>
        <v>0</v>
      </c>
      <c r="K172">
        <f>RANK.EQ(F172,$F$2:$F$37,1)</f>
        <v>0</v>
      </c>
      <c r="L172">
        <f>RANK.EQ(G172,$G$2:$G$37,1)</f>
        <v>0</v>
      </c>
      <c r="M172">
        <f>RANK.EQ(H172,$H$2:$H$37,1)</f>
        <v>0</v>
      </c>
      <c r="N172">
        <f>AVERAGE(J172,K172,L172,M172)</f>
        <v>0</v>
      </c>
      <c r="O172">
        <f>IF(N172=MIN($N$2:$N$37),"Yes","")</f>
        <v>0</v>
      </c>
      <c r="P172">
        <f>IF(N172=MINIFS($N$2:$N$37,$A$2:$A$37,A172),"Yes","")</f>
        <v>0</v>
      </c>
    </row>
    <row r="177" spans="1:16">
      <c r="A177" t="s">
        <v>151</v>
      </c>
      <c r="B177">
        <v>2</v>
      </c>
      <c r="C177">
        <v>0.95</v>
      </c>
      <c r="D177">
        <v>100</v>
      </c>
      <c r="E177">
        <f>AVERAGEIFS('Raw Data'!$N:$N,'Raw Data'!$B:$B,"gemini-2.0-pro-exp-02-05",'Raw Data'!$C:$C,"2.0",'Raw Data'!$D:$D,"0.95",'Raw Data'!$E:$E,"100")</f>
        <v>0</v>
      </c>
      <c r="F177">
        <f>AVERAGEIFS('Raw Data'!$J:$J,'Raw Data'!$B:$B,"gemini-2.0-pro-exp-02-05",'Raw Data'!$C:$C,"2.0",'Raw Data'!$D:$D,"0.95",'Raw Data'!$E:$E,"100")</f>
        <v>0</v>
      </c>
      <c r="G177">
        <f>AVERAGEIFS('Raw Data'!$K:$K,'Raw Data'!$B:$B,"gemini-2.0-pro-exp-02-05",'Raw Data'!$C:$C,"2.0",'Raw Data'!$D:$D,"0.95",'Raw Data'!$E:$E,"100")</f>
        <v>0</v>
      </c>
      <c r="H177">
        <f>AVERAGEIFS('Raw Data'!$O:$O,'Raw Data'!$B:$B,"gemini-2.0-pro-exp-02-05",'Raw Data'!$C:$C,"2.0",'Raw Data'!$D:$D,"0.95",'Raw Data'!$E:$E,"100")</f>
        <v>0</v>
      </c>
      <c r="I177">
        <f>A177 &amp; " (T:" &amp; B177 &amp; ", p:" &amp; C177 &amp; ", k:" &amp; D177 &amp; ")"</f>
        <v>0</v>
      </c>
      <c r="J177">
        <f>RANK.EQ(E177,$E$2:$E$37,0)</f>
        <v>0</v>
      </c>
      <c r="K177">
        <f>RANK.EQ(F177,$F$2:$F$37,1)</f>
        <v>0</v>
      </c>
      <c r="L177">
        <f>RANK.EQ(G177,$G$2:$G$37,1)</f>
        <v>0</v>
      </c>
      <c r="M177">
        <f>RANK.EQ(H177,$H$2:$H$37,1)</f>
        <v>0</v>
      </c>
      <c r="N177">
        <f>AVERAGE(J177,K177,L177,M177)</f>
        <v>0</v>
      </c>
      <c r="O177">
        <f>IF(N177=MIN($N$2:$N$37),"Yes","")</f>
        <v>0</v>
      </c>
      <c r="P177">
        <f>IF(N177=MINIFS($N$2:$N$37,$A$2:$A$37,A177),"Yes","")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0.7109375" customWidth="1"/>
  </cols>
  <sheetData>
    <row r="1" spans="1:1">
      <c r="A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Comparisons</vt:lpstr>
      <vt:lpstr>Explanation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2025-03-20T19:26:31Z</dcterms:created>
  <dcterms:modified xsi:type="dcterms:W3CDTF">2025-03-20T19:26:31Z</dcterms:modified>
</cp:coreProperties>
</file>